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d91abe148337f8a3/Documents/các dl làm sạch/"/>
    </mc:Choice>
  </mc:AlternateContent>
  <xr:revisionPtr revIDLastSave="2" documentId="8_{EA0A8306-0C2A-4BFC-930A-42E6F4007E89}" xr6:coauthVersionLast="47" xr6:coauthVersionMax="47" xr10:uidLastSave="{E5C3F5B3-011E-4B30-AF33-B87F4B7276FC}"/>
  <bookViews>
    <workbookView xWindow="-108" yWindow="-108" windowWidth="23256" windowHeight="12456" xr2:uid="{00000000-000D-0000-FFFF-FFFF00000000}"/>
  </bookViews>
  <sheets>
    <sheet name="Produ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K2" i="1"/>
  <c r="J5" i="1"/>
  <c r="J4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K10" i="1"/>
  <c r="K3" i="1"/>
  <c r="K4" i="1"/>
  <c r="K5" i="1"/>
  <c r="K6" i="1"/>
  <c r="K7" i="1"/>
  <c r="K8" i="1"/>
  <c r="K9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</calcChain>
</file>

<file path=xl/sharedStrings.xml><?xml version="1.0" encoding="utf-8"?>
<sst xmlns="http://schemas.openxmlformats.org/spreadsheetml/2006/main" count="71" uniqueCount="42">
  <si>
    <t>Mã SP</t>
  </si>
  <si>
    <t>Tên sản phẩm</t>
  </si>
  <si>
    <t>Giá bán</t>
  </si>
  <si>
    <t>Giá gốc</t>
  </si>
  <si>
    <t>Lượt bán</t>
  </si>
  <si>
    <t>Doanh thu 30 ngày</t>
  </si>
  <si>
    <t>Điểm đánh giá TB</t>
  </si>
  <si>
    <t>Tổng lượt đánh giá</t>
  </si>
  <si>
    <t>Link SP</t>
  </si>
  <si>
    <t>Tẩy tế bào chết mặt cà phê Đắk Lắk Cocoon 150ml</t>
  </si>
  <si>
    <t>Son dưỡng dầu dừa Bến Tre Cocoon 5g</t>
  </si>
  <si>
    <t>Dầu gội bưởi Cocoon giảm gãy rụng 500ml</t>
  </si>
  <si>
    <t>Combo Nước dưỡng tóc tinh dầu bưởi Cocoon 140ml</t>
  </si>
  <si>
    <t>Nước tẩy trang bí đao Cocoon 500ml</t>
  </si>
  <si>
    <t>Combo 2 Tẩy tế bào chết mặt cà phê Đắk Lắk Cocoon 150ml</t>
  </si>
  <si>
    <t>Sữa rửa mặt nghệ Hưng Yên Cocoon 310ml</t>
  </si>
  <si>
    <t>Gel tắm bí đao Cocoon giảm mụn lưng 500ml</t>
  </si>
  <si>
    <t>Kem chống nắng bí đao Cocoon quang phổ rộng 50ml</t>
  </si>
  <si>
    <t>Mặt nạ nghệ Hưng Yên Cocoon dưỡng sáng da 100ml</t>
  </si>
  <si>
    <t>Tẩy tế bào chết body cà phê Đắk Lắk Cocoon 200ml</t>
  </si>
  <si>
    <t>Nước hoa hồng Cocoon cấp ẩm sâu 310ml</t>
  </si>
  <si>
    <t>Tinh chất bí đao Cocoon giảm mụn mờ thâm 70ml</t>
  </si>
  <si>
    <t>Gel rửa mặt bí đao Cocoon giảm dầu mụn 310ml</t>
  </si>
  <si>
    <t>Xịt thâm mụn lưng bí đao Cocoon 140ml</t>
  </si>
  <si>
    <t>Dầu xả bưởi Cocoon giảm gãy rụng tóc 310ml</t>
  </si>
  <si>
    <t>Mặt nạ bí đao Cocoon thông thoáng lỗ chân lông 100ml</t>
  </si>
  <si>
    <t>Tẩy da chết đường thốt nốt An Giang Cocoon 200ml</t>
  </si>
  <si>
    <t>Nước cân bằng bí đao Cocoon 140ml</t>
  </si>
  <si>
    <t>Dầu tẩy trang hoa hồng Cocoon 140ml</t>
  </si>
  <si>
    <t>Sữa rửa mặt sen Hậu Giang Cocoon dịu nhẹ 310ml</t>
  </si>
  <si>
    <t>Kem dưỡng dạng thạch hoa hồng Cocoon 30ml</t>
  </si>
  <si>
    <t>Tẩy tế bào chết môi cà phê Đắk Lắk Cocoon 5g</t>
  </si>
  <si>
    <t>Xịt khoáng nghệ Hưng Yên Cocoon sáng da 130ml</t>
  </si>
  <si>
    <t>Kem ủ tóc bưởi Cocoon phục hồi hư tổn 200ml</t>
  </si>
  <si>
    <t>Nước dưỡng tóc Sa-chi Cocoon cấp ẩm 140ml</t>
  </si>
  <si>
    <t>Túi Refill Tẩy da chết body cà phê Cocoon 600ml</t>
  </si>
  <si>
    <t>Túi Refill Dầu gội bưởi Cocoon 500ml</t>
  </si>
  <si>
    <t>Combo Dầu gội + Dầu xả bưởi Cocoon 500ml</t>
  </si>
  <si>
    <t>Combo Nước tẩy trang + Gel rửa mặt bí đao Cocoon</t>
  </si>
  <si>
    <t>Category</t>
  </si>
  <si>
    <t>% Giảm giá</t>
  </si>
  <si>
    <t>https://shopee.vn/cocoonvietnam_official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</si>
</sst>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9" fontId="0" fillId="0" borderId="0" xfId="1" applyFont="1"/>
    <xf numFmtId="0" fontId="4" fillId="0" borderId="0" xfId="2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hopee.vn/cocoonvietnam_official" TargetMode="External"/><Relationship Id="rId1" Type="http://schemas.openxmlformats.org/officeDocument/2006/relationships/hyperlink" Target="https://shopee.vn/cocoonvietnam_offici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abSelected="1" topLeftCell="B1" workbookViewId="0">
      <selection activeCell="M3" sqref="M3"/>
    </sheetView>
  </sheetViews>
  <sheetFormatPr defaultRowHeight="14.4" x14ac:dyDescent="0.3"/>
  <cols>
    <col min="2" max="2" width="50.88671875" bestFit="1" customWidth="1"/>
    <col min="6" max="6" width="17" bestFit="1" customWidth="1"/>
    <col min="7" max="7" width="15.77734375" bestFit="1" customWidth="1"/>
    <col min="8" max="8" width="17.21875" bestFit="1" customWidth="1"/>
    <col min="9" max="9" width="36.33203125" bestFit="1" customWidth="1"/>
    <col min="10" max="10" width="14.44140625" bestFit="1" customWidth="1"/>
    <col min="11" max="11" width="10.1093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39</v>
      </c>
      <c r="K1" s="2" t="s">
        <v>40</v>
      </c>
    </row>
    <row r="2" spans="1:11" x14ac:dyDescent="0.3">
      <c r="A2">
        <v>92215</v>
      </c>
      <c r="B2" t="s">
        <v>9</v>
      </c>
      <c r="C2">
        <v>168000</v>
      </c>
      <c r="D2">
        <v>168000</v>
      </c>
      <c r="E2">
        <v>81800</v>
      </c>
      <c r="F2">
        <v>13742400000</v>
      </c>
      <c r="G2">
        <v>5</v>
      </c>
      <c r="H2">
        <v>32500</v>
      </c>
      <c r="I2" s="4" t="s">
        <v>41</v>
      </c>
      <c r="J2" t="str">
        <f>IF(ISNUMBER(SEARCH("combo",B3)),"Combo/Set",
IF(ISNUMBER(SEARCH("tẩy trang",B3)),"Tẩy trang",
IF(OR(ISNUMBER(SEARCH("tẩy tế bào chết",B3)),ISNUMBER(SEARCH("tẩy da chết",B3))),"Tẩy tế bào chết",
IF(ISNUMBER(SEARCH("rửa mặt",B3)),"Làm sạch mặt",
IF(OR(ISNUMBER(SEARCH("gội",B3)),ISNUMBER(SEARCH("xả",B3)),ISNUMBER(SEARCH("tóc",B3))),"Chăm sóc tóc",
IF(ISNUMBER(SEARCH("son dưỡng",B3)),"Chăm sóc môi",
IF(ISNUMBER(SEARCH("chống nắng",B3)),"Chống nắng",
IF(ISNUMBER(SEARCH("mặt nạ",B3)),"Mặt nạ",
IF(OR(ISNUMBER(SEARCH("xịt khoáng",B3)),ISNUMBER(SEARCH("nước hoa hồng",B3)),ISNUMBER(SEARCH("nước cân bằng",B3))),"Toner/Xịt khoáng",
IF(OR(ISNUMBER(SEARCH("tinh chất",B3)),ISNUMBER(SEARCH("kem dưỡng",B3))),"Serum/Dưỡng da",
IF(OR(ISNUMBER(SEARCH("gel tắm",B3)),ISNUMBER(SEARCH("thâm mụn lưng",B3))),"Chăm sóc body","Khác")))))))))))</f>
        <v>Chăm sóc môi</v>
      </c>
      <c r="K2" s="3">
        <f>IF(D2&gt;C2, (D2-C2)/D2, 0)</f>
        <v>0</v>
      </c>
    </row>
    <row r="3" spans="1:11" x14ac:dyDescent="0.3">
      <c r="A3">
        <v>86707</v>
      </c>
      <c r="B3" t="s">
        <v>10</v>
      </c>
      <c r="C3">
        <v>35000</v>
      </c>
      <c r="D3">
        <v>35000</v>
      </c>
      <c r="E3">
        <v>95200</v>
      </c>
      <c r="F3">
        <v>3332000000</v>
      </c>
      <c r="G3">
        <v>4.8</v>
      </c>
      <c r="H3">
        <v>18500</v>
      </c>
      <c r="I3" s="4" t="s">
        <v>41</v>
      </c>
      <c r="J3" t="str">
        <f>IF(ISNUMBER(SEARCH("combo",B3)),"Combo/Set",
IF(ISNUMBER(SEARCH("tẩy trang",B3)),"Tẩy trang",
IF(OR(ISNUMBER(SEARCH("tẩy tế bào chết",B3)),ISNUMBER(SEARCH("tẩy da chết",B3))),"Tẩy tế bào chết",
IF(ISNUMBER(SEARCH("rửa mặt",B3)),"Làm sạch mặt",
IF(OR(ISNUMBER(SEARCH("gội",B3)),ISNUMBER(SEARCH("xả",B3)),ISNUMBER(SEARCH("tóc",B3))),"Chăm sóc tóc",
IF(ISNUMBER(SEARCH("son dưỡng",B3)),"Chăm sóc môi",
IF(ISNUMBER(SEARCH("chống nắng",B3)),"Chống nắng",
IF(ISNUMBER(SEARCH("mặt nạ",B3)),"Mặt nạ",
IF(OR(ISNUMBER(SEARCH("xịt khoáng",B3)),ISNUMBER(SEARCH("nước hoa hồng",B3)),ISNUMBER(SEARCH("nước cân bằng",B3))),"Toner/Xịt khoáng",
IF(OR(ISNUMBER(SEARCH("tinh chất",B3)),ISNUMBER(SEARCH("kem dưỡng",B3))),"Serum/Dưỡng da",
IF(OR(ISNUMBER(SEARCH("gel tắm",B3)),ISNUMBER(SEARCH("thâm mụn lưng",B3))),"Chăm sóc body","Khác")))))))))))</f>
        <v>Chăm sóc môi</v>
      </c>
      <c r="K3" s="3">
        <f t="shared" ref="K3:K31" si="0">IF(D3&gt;C3, (D3-C3)/D3, 0)</f>
        <v>0</v>
      </c>
    </row>
    <row r="4" spans="1:11" x14ac:dyDescent="0.3">
      <c r="A4">
        <v>112793</v>
      </c>
      <c r="B4" t="s">
        <v>11</v>
      </c>
      <c r="C4">
        <v>245000</v>
      </c>
      <c r="D4">
        <v>245000</v>
      </c>
      <c r="E4">
        <v>42100</v>
      </c>
      <c r="F4">
        <v>10314500000</v>
      </c>
      <c r="G4">
        <v>4.7</v>
      </c>
      <c r="H4">
        <v>12800</v>
      </c>
      <c r="I4" s="4" t="s">
        <v>41</v>
      </c>
      <c r="J4" t="str">
        <f t="shared" ref="J3:J31" si="1">IF(ISNUMBER(SEARCH("combo",B4)),"Combo/Set",
IF(ISNUMBER(SEARCH("tẩy trang",B4)),"Tẩy trang",
IF(OR(ISNUMBER(SEARCH("tẩy tế bào chết",B4)),ISNUMBER(SEARCH("tẩy da chết",B4))),"Tẩy tế bào chết",
IF(ISNUMBER(SEARCH("rửa mặt",B4)),"Làm sạch mặt",
IF(OR(ISNUMBER(SEARCH("gội",B4)),ISNUMBER(SEARCH("xả",B4)),ISNUMBER(SEARCH("tóc",B4))),"Chăm sóc tóc",
IF(ISNUMBER(SEARCH("son dưỡng",B4)),"Chăm sóc môi",
IF(ISNUMBER(SEARCH("chống nắng",B4)),"Chống nắng",
IF(ISNUMBER(SEARCH("mặt nạ",B4)),"Mặt nạ",
IF(OR(ISNUMBER(SEARCH("xịt khoáng",B4)),ISNUMBER(SEARCH("nước hoa hồng",B4)),ISNUMBER(SEARCH("nước cân bằng",B4))),"Toner/Xịt khoáng",
IF(OR(ISNUMBER(SEARCH("tinh chất",B4)),ISNUMBER(SEARCH("kem dưỡng",B4))),"Serum/Dưỡng da",
IF(OR(ISNUMBER(SEARCH("gel tắm",B4)),ISNUMBER(SEARCH("thâm mụn lưng",B4))),"Chăm sóc body","Khác")))))))))))</f>
        <v>Chăm sóc tóc</v>
      </c>
      <c r="K4" s="3">
        <f t="shared" si="0"/>
        <v>0</v>
      </c>
    </row>
    <row r="5" spans="1:11" x14ac:dyDescent="0.3">
      <c r="A5">
        <v>105519</v>
      </c>
      <c r="B5" t="s">
        <v>12</v>
      </c>
      <c r="C5">
        <v>165000</v>
      </c>
      <c r="D5">
        <v>165000</v>
      </c>
      <c r="E5">
        <v>53600</v>
      </c>
      <c r="F5">
        <v>8844000000</v>
      </c>
      <c r="G5">
        <v>5</v>
      </c>
      <c r="H5">
        <v>21100</v>
      </c>
      <c r="I5" s="4" t="s">
        <v>41</v>
      </c>
      <c r="J5" t="str">
        <f>IF(ISNUMBER(SEARCH("combo",B5)),"Combo/Set",
IF(ISNUMBER(SEARCH("tẩy trang",B5)),"Tẩy trang",
IF(OR(ISNUMBER(SEARCH("tẩy tế bào chết",B5)),ISNUMBER(SEARCH("tẩy da chết",B5))),"Tẩy tế bào chết",
IF(ISNUMBER(SEARCH("rửa mặt",B5)),"Làm sạch mặt",
IF(OR(ISNUMBER(SEARCH("gội",B5)),ISNUMBER(SEARCH("xả",B5)),ISNUMBER(SEARCH("tóc",B5))),"Chăm sóc tóc",
IF(ISNUMBER(SEARCH("son dưỡng",B5)),"Chăm sóc môi",
IF(ISNUMBER(SEARCH("chống nắng",B5)),"Chống nắng",
IF(ISNUMBER(SEARCH("mặt nạ",B5)),"Mặt nạ",
IF(OR(ISNUMBER(SEARCH("xịt khoáng",B5)),ISNUMBER(SEARCH("nước hoa hồng",B5)),ISNUMBER(SEARCH("nước cân bằng",B5))),"Toner/Xịt khoáng",
IF(OR(ISNUMBER(SEARCH("tinh chất",B5)),ISNUMBER(SEARCH("kem dưỡng",B5))),"Serum/Dưỡng da",
IF(OR(ISNUMBER(SEARCH("gel tắm",B5)),ISNUMBER(SEARCH("thâm mụn lưng",B5))),"Chăm sóc body","Khác")))))))))))</f>
        <v>Combo/Set</v>
      </c>
      <c r="K5" s="3">
        <f t="shared" si="0"/>
        <v>0</v>
      </c>
    </row>
    <row r="6" spans="1:11" x14ac:dyDescent="0.3">
      <c r="A6">
        <v>91747</v>
      </c>
      <c r="B6" t="s">
        <v>13</v>
      </c>
      <c r="C6">
        <v>295000</v>
      </c>
      <c r="D6">
        <v>295000</v>
      </c>
      <c r="E6">
        <v>62400</v>
      </c>
      <c r="F6">
        <v>18408000000</v>
      </c>
      <c r="G6">
        <v>4.7</v>
      </c>
      <c r="H6">
        <v>24600</v>
      </c>
      <c r="I6" s="4" t="s">
        <v>41</v>
      </c>
      <c r="J6" t="str">
        <f t="shared" si="1"/>
        <v>Tẩy trang</v>
      </c>
      <c r="K6" s="3">
        <f t="shared" si="0"/>
        <v>0</v>
      </c>
    </row>
    <row r="7" spans="1:11" x14ac:dyDescent="0.3">
      <c r="A7">
        <v>92253</v>
      </c>
      <c r="B7" t="s">
        <v>14</v>
      </c>
      <c r="C7">
        <v>305000</v>
      </c>
      <c r="D7">
        <v>336000</v>
      </c>
      <c r="E7">
        <v>39200</v>
      </c>
      <c r="F7">
        <v>11956000000</v>
      </c>
      <c r="G7">
        <v>4.5999999999999996</v>
      </c>
      <c r="H7">
        <v>15800</v>
      </c>
      <c r="I7" s="4" t="s">
        <v>41</v>
      </c>
      <c r="J7" t="str">
        <f t="shared" si="1"/>
        <v>Combo/Set</v>
      </c>
      <c r="K7" s="3">
        <f t="shared" si="0"/>
        <v>9.2261904761904767E-2</v>
      </c>
    </row>
    <row r="8" spans="1:11" x14ac:dyDescent="0.3">
      <c r="A8">
        <v>101935</v>
      </c>
      <c r="B8" t="s">
        <v>15</v>
      </c>
      <c r="C8">
        <v>245000</v>
      </c>
      <c r="D8">
        <v>245000</v>
      </c>
      <c r="E8">
        <v>28900</v>
      </c>
      <c r="F8">
        <v>7080500000</v>
      </c>
      <c r="G8">
        <v>4.8</v>
      </c>
      <c r="H8">
        <v>11400</v>
      </c>
      <c r="I8" s="4" t="s">
        <v>41</v>
      </c>
      <c r="J8" t="str">
        <f t="shared" si="1"/>
        <v>Làm sạch mặt</v>
      </c>
      <c r="K8" s="3">
        <f t="shared" si="0"/>
        <v>0</v>
      </c>
    </row>
    <row r="9" spans="1:11" x14ac:dyDescent="0.3">
      <c r="A9">
        <v>278725</v>
      </c>
      <c r="B9" t="s">
        <v>16</v>
      </c>
      <c r="C9">
        <v>295000</v>
      </c>
      <c r="D9">
        <v>295000</v>
      </c>
      <c r="E9">
        <v>45100</v>
      </c>
      <c r="F9">
        <v>13304500000</v>
      </c>
      <c r="G9">
        <v>4.8</v>
      </c>
      <c r="H9">
        <v>18200</v>
      </c>
      <c r="I9" s="4" t="s">
        <v>41</v>
      </c>
      <c r="J9" t="str">
        <f t="shared" si="1"/>
        <v>Chăm sóc body</v>
      </c>
      <c r="K9" s="3">
        <f t="shared" si="0"/>
        <v>0</v>
      </c>
    </row>
    <row r="10" spans="1:11" x14ac:dyDescent="0.3">
      <c r="A10">
        <v>108901</v>
      </c>
      <c r="B10" t="s">
        <v>17</v>
      </c>
      <c r="C10">
        <v>395000</v>
      </c>
      <c r="D10">
        <v>451000</v>
      </c>
      <c r="E10">
        <v>62100</v>
      </c>
      <c r="F10">
        <v>24529500000</v>
      </c>
      <c r="G10">
        <v>4.8</v>
      </c>
      <c r="H10">
        <v>17900</v>
      </c>
      <c r="I10" s="4" t="s">
        <v>41</v>
      </c>
      <c r="J10" t="str">
        <f t="shared" si="1"/>
        <v>Chống nắng</v>
      </c>
      <c r="K10" s="3">
        <f>IF(D10&gt;C10, (D10-C10)/D10, 0)</f>
        <v>0.12416851441241686</v>
      </c>
    </row>
    <row r="11" spans="1:11" x14ac:dyDescent="0.3">
      <c r="A11">
        <v>108902</v>
      </c>
      <c r="B11" t="s">
        <v>18</v>
      </c>
      <c r="C11">
        <v>345000</v>
      </c>
      <c r="D11">
        <v>398000</v>
      </c>
      <c r="E11">
        <v>17800</v>
      </c>
      <c r="F11">
        <v>6141000000</v>
      </c>
      <c r="G11">
        <v>4.9000000000000004</v>
      </c>
      <c r="H11">
        <v>5200</v>
      </c>
      <c r="I11" s="4" t="s">
        <v>41</v>
      </c>
      <c r="J11" t="str">
        <f t="shared" si="1"/>
        <v>Mặt nạ</v>
      </c>
      <c r="K11" s="3">
        <f t="shared" si="0"/>
        <v>0.13316582914572864</v>
      </c>
    </row>
    <row r="12" spans="1:11" x14ac:dyDescent="0.3">
      <c r="A12">
        <v>108903</v>
      </c>
      <c r="B12" t="s">
        <v>19</v>
      </c>
      <c r="C12">
        <v>165000</v>
      </c>
      <c r="D12">
        <v>179000</v>
      </c>
      <c r="E12">
        <v>42900</v>
      </c>
      <c r="F12">
        <v>7078500000</v>
      </c>
      <c r="G12">
        <v>5</v>
      </c>
      <c r="H12">
        <v>12400</v>
      </c>
      <c r="I12" s="4" t="s">
        <v>41</v>
      </c>
      <c r="J12" t="str">
        <f t="shared" si="1"/>
        <v>Tẩy tế bào chết</v>
      </c>
      <c r="K12" s="3">
        <f t="shared" si="0"/>
        <v>7.8212290502793297E-2</v>
      </c>
    </row>
    <row r="13" spans="1:11" x14ac:dyDescent="0.3">
      <c r="A13">
        <v>108904</v>
      </c>
      <c r="B13" t="s">
        <v>20</v>
      </c>
      <c r="C13">
        <v>245000</v>
      </c>
      <c r="D13">
        <v>289000</v>
      </c>
      <c r="E13">
        <v>69000</v>
      </c>
      <c r="F13">
        <v>16905000000</v>
      </c>
      <c r="G13">
        <v>4.8</v>
      </c>
      <c r="H13">
        <v>20000</v>
      </c>
      <c r="I13" s="4" t="s">
        <v>41</v>
      </c>
      <c r="J13" t="str">
        <f t="shared" si="1"/>
        <v>Toner/Xịt khoáng</v>
      </c>
      <c r="K13" s="3">
        <f t="shared" si="0"/>
        <v>0.15224913494809689</v>
      </c>
    </row>
    <row r="14" spans="1:11" x14ac:dyDescent="0.3">
      <c r="A14">
        <v>108905</v>
      </c>
      <c r="B14" t="s">
        <v>21</v>
      </c>
      <c r="C14">
        <v>299000</v>
      </c>
      <c r="D14">
        <v>348000</v>
      </c>
      <c r="E14">
        <v>66600</v>
      </c>
      <c r="F14">
        <v>19913400000</v>
      </c>
      <c r="G14">
        <v>4.8</v>
      </c>
      <c r="H14">
        <v>19300</v>
      </c>
      <c r="I14" s="4" t="s">
        <v>41</v>
      </c>
      <c r="J14" t="str">
        <f t="shared" si="1"/>
        <v>Serum/Dưỡng da</v>
      </c>
      <c r="K14" s="3">
        <f t="shared" si="0"/>
        <v>0.14080459770114942</v>
      </c>
    </row>
    <row r="15" spans="1:11" x14ac:dyDescent="0.3">
      <c r="A15">
        <v>108906</v>
      </c>
      <c r="B15" t="s">
        <v>22</v>
      </c>
      <c r="C15">
        <v>299000</v>
      </c>
      <c r="D15">
        <v>330000</v>
      </c>
      <c r="E15">
        <v>2600</v>
      </c>
      <c r="F15">
        <v>777400000</v>
      </c>
      <c r="G15">
        <v>4.9000000000000004</v>
      </c>
      <c r="H15">
        <v>742</v>
      </c>
      <c r="I15" s="4" t="s">
        <v>41</v>
      </c>
      <c r="J15" t="str">
        <f t="shared" si="1"/>
        <v>Làm sạch mặt</v>
      </c>
      <c r="K15" s="3">
        <f t="shared" si="0"/>
        <v>9.3939393939393934E-2</v>
      </c>
    </row>
    <row r="16" spans="1:11" x14ac:dyDescent="0.3">
      <c r="A16">
        <v>108907</v>
      </c>
      <c r="B16" t="s">
        <v>23</v>
      </c>
      <c r="C16">
        <v>195000</v>
      </c>
      <c r="D16">
        <v>215000</v>
      </c>
      <c r="E16">
        <v>61500</v>
      </c>
      <c r="F16">
        <v>11992500000</v>
      </c>
      <c r="G16">
        <v>4.8</v>
      </c>
      <c r="H16">
        <v>17800</v>
      </c>
      <c r="I16" s="4" t="s">
        <v>41</v>
      </c>
      <c r="J16" t="str">
        <f t="shared" si="1"/>
        <v>Chăm sóc body</v>
      </c>
      <c r="K16" s="3">
        <f t="shared" si="0"/>
        <v>9.3023255813953487E-2</v>
      </c>
    </row>
    <row r="17" spans="1:11" x14ac:dyDescent="0.3">
      <c r="A17">
        <v>108908</v>
      </c>
      <c r="B17" t="s">
        <v>24</v>
      </c>
      <c r="C17">
        <v>195000</v>
      </c>
      <c r="D17">
        <v>215000</v>
      </c>
      <c r="E17">
        <v>64800</v>
      </c>
      <c r="F17">
        <v>12636000000</v>
      </c>
      <c r="G17">
        <v>4.8</v>
      </c>
      <c r="H17">
        <v>18700</v>
      </c>
      <c r="I17" s="4" t="s">
        <v>41</v>
      </c>
      <c r="J17" t="str">
        <f t="shared" si="1"/>
        <v>Chăm sóc tóc</v>
      </c>
      <c r="K17" s="3">
        <f t="shared" si="0"/>
        <v>9.3023255813953487E-2</v>
      </c>
    </row>
    <row r="18" spans="1:11" x14ac:dyDescent="0.3">
      <c r="A18">
        <v>108909</v>
      </c>
      <c r="B18" t="s">
        <v>25</v>
      </c>
      <c r="C18">
        <v>339000</v>
      </c>
      <c r="D18">
        <v>377000</v>
      </c>
      <c r="E18">
        <v>66700</v>
      </c>
      <c r="F18">
        <v>22611300000</v>
      </c>
      <c r="G18">
        <v>4.9000000000000004</v>
      </c>
      <c r="H18">
        <v>19300</v>
      </c>
      <c r="I18" s="4" t="s">
        <v>41</v>
      </c>
      <c r="J18" t="str">
        <f t="shared" si="1"/>
        <v>Mặt nạ</v>
      </c>
      <c r="K18" s="3">
        <f t="shared" si="0"/>
        <v>0.10079575596816977</v>
      </c>
    </row>
    <row r="19" spans="1:11" x14ac:dyDescent="0.3">
      <c r="A19">
        <v>108910</v>
      </c>
      <c r="B19" t="s">
        <v>26</v>
      </c>
      <c r="C19">
        <v>165000</v>
      </c>
      <c r="D19">
        <v>187000</v>
      </c>
      <c r="E19">
        <v>69800</v>
      </c>
      <c r="F19">
        <v>11517000000</v>
      </c>
      <c r="G19">
        <v>4.8</v>
      </c>
      <c r="H19">
        <v>20200</v>
      </c>
      <c r="I19" s="4" t="s">
        <v>41</v>
      </c>
      <c r="J19" t="str">
        <f t="shared" si="1"/>
        <v>Tẩy tế bào chết</v>
      </c>
      <c r="K19" s="3">
        <f t="shared" si="0"/>
        <v>0.11764705882352941</v>
      </c>
    </row>
    <row r="20" spans="1:11" x14ac:dyDescent="0.3">
      <c r="A20">
        <v>108911</v>
      </c>
      <c r="B20" t="s">
        <v>27</v>
      </c>
      <c r="C20">
        <v>195000</v>
      </c>
      <c r="D20">
        <v>220000</v>
      </c>
      <c r="E20">
        <v>7100</v>
      </c>
      <c r="F20">
        <v>1384500000</v>
      </c>
      <c r="G20">
        <v>4.9000000000000004</v>
      </c>
      <c r="H20">
        <v>2100</v>
      </c>
      <c r="I20" s="4" t="s">
        <v>41</v>
      </c>
      <c r="J20" t="str">
        <f t="shared" si="1"/>
        <v>Toner/Xịt khoáng</v>
      </c>
      <c r="K20" s="3">
        <f t="shared" si="0"/>
        <v>0.11363636363636363</v>
      </c>
    </row>
    <row r="21" spans="1:11" x14ac:dyDescent="0.3">
      <c r="A21">
        <v>108912</v>
      </c>
      <c r="B21" t="s">
        <v>28</v>
      </c>
      <c r="C21">
        <v>180000</v>
      </c>
      <c r="D21">
        <v>200000</v>
      </c>
      <c r="E21">
        <v>84900</v>
      </c>
      <c r="F21">
        <v>15282000000</v>
      </c>
      <c r="G21">
        <v>4.9000000000000004</v>
      </c>
      <c r="H21">
        <v>24600</v>
      </c>
      <c r="I21" s="4" t="s">
        <v>41</v>
      </c>
      <c r="J21" t="str">
        <f t="shared" si="1"/>
        <v>Tẩy trang</v>
      </c>
      <c r="K21" s="3">
        <f t="shared" si="0"/>
        <v>0.1</v>
      </c>
    </row>
    <row r="22" spans="1:11" x14ac:dyDescent="0.3">
      <c r="A22">
        <v>108913</v>
      </c>
      <c r="B22" t="s">
        <v>29</v>
      </c>
      <c r="C22">
        <v>299000</v>
      </c>
      <c r="D22">
        <v>342000</v>
      </c>
      <c r="E22">
        <v>55500</v>
      </c>
      <c r="F22">
        <v>16594500000</v>
      </c>
      <c r="G22">
        <v>5</v>
      </c>
      <c r="H22">
        <v>16100</v>
      </c>
      <c r="I22" s="4" t="s">
        <v>41</v>
      </c>
      <c r="J22" t="str">
        <f t="shared" si="1"/>
        <v>Làm sạch mặt</v>
      </c>
      <c r="K22" s="3">
        <f t="shared" si="0"/>
        <v>0.12573099415204678</v>
      </c>
    </row>
    <row r="23" spans="1:11" x14ac:dyDescent="0.3">
      <c r="A23">
        <v>108914</v>
      </c>
      <c r="B23" t="s">
        <v>30</v>
      </c>
      <c r="C23">
        <v>195000</v>
      </c>
      <c r="D23">
        <v>214000</v>
      </c>
      <c r="E23">
        <v>30500</v>
      </c>
      <c r="F23">
        <v>5947500000</v>
      </c>
      <c r="G23">
        <v>4.7</v>
      </c>
      <c r="H23">
        <v>8800</v>
      </c>
      <c r="I23" s="4" t="s">
        <v>41</v>
      </c>
      <c r="J23" t="str">
        <f t="shared" si="1"/>
        <v>Serum/Dưỡng da</v>
      </c>
      <c r="K23" s="3">
        <f t="shared" si="0"/>
        <v>8.8785046728971959E-2</v>
      </c>
    </row>
    <row r="24" spans="1:11" x14ac:dyDescent="0.3">
      <c r="A24">
        <v>108915</v>
      </c>
      <c r="B24" t="s">
        <v>31</v>
      </c>
      <c r="C24">
        <v>75000</v>
      </c>
      <c r="D24">
        <v>84000</v>
      </c>
      <c r="E24">
        <v>73700</v>
      </c>
      <c r="F24">
        <v>5527500000</v>
      </c>
      <c r="G24">
        <v>4.9000000000000004</v>
      </c>
      <c r="H24">
        <v>21300</v>
      </c>
      <c r="I24" s="4" t="s">
        <v>41</v>
      </c>
      <c r="J24" t="str">
        <f t="shared" si="1"/>
        <v>Tẩy tế bào chết</v>
      </c>
      <c r="K24" s="3">
        <f t="shared" si="0"/>
        <v>0.10714285714285714</v>
      </c>
    </row>
    <row r="25" spans="1:11" x14ac:dyDescent="0.3">
      <c r="A25">
        <v>108916</v>
      </c>
      <c r="B25" t="s">
        <v>32</v>
      </c>
      <c r="C25">
        <v>215000</v>
      </c>
      <c r="D25">
        <v>241000</v>
      </c>
      <c r="E25">
        <v>27500</v>
      </c>
      <c r="F25">
        <v>5912500000</v>
      </c>
      <c r="G25">
        <v>5</v>
      </c>
      <c r="H25">
        <v>7900</v>
      </c>
      <c r="I25" s="4" t="s">
        <v>41</v>
      </c>
      <c r="J25" t="str">
        <f t="shared" si="1"/>
        <v>Toner/Xịt khoáng</v>
      </c>
      <c r="K25" s="3">
        <f t="shared" si="0"/>
        <v>0.1078838174273859</v>
      </c>
    </row>
    <row r="26" spans="1:11" x14ac:dyDescent="0.3">
      <c r="A26">
        <v>108917</v>
      </c>
      <c r="B26" t="s">
        <v>33</v>
      </c>
      <c r="C26">
        <v>215000</v>
      </c>
      <c r="D26">
        <v>243000</v>
      </c>
      <c r="E26">
        <v>20200</v>
      </c>
      <c r="F26">
        <v>4343000000</v>
      </c>
      <c r="G26">
        <v>4</v>
      </c>
      <c r="H26">
        <v>5800</v>
      </c>
      <c r="I26" s="4" t="s">
        <v>41</v>
      </c>
      <c r="J26" t="str">
        <f t="shared" si="1"/>
        <v>Chăm sóc tóc</v>
      </c>
      <c r="K26" s="3">
        <f t="shared" si="0"/>
        <v>0.11522633744855967</v>
      </c>
    </row>
    <row r="27" spans="1:11" x14ac:dyDescent="0.3">
      <c r="A27">
        <v>108918</v>
      </c>
      <c r="B27" t="s">
        <v>34</v>
      </c>
      <c r="C27">
        <v>145000</v>
      </c>
      <c r="D27">
        <v>168000</v>
      </c>
      <c r="E27">
        <v>4500</v>
      </c>
      <c r="F27">
        <v>652500000</v>
      </c>
      <c r="G27">
        <v>4.7</v>
      </c>
      <c r="H27">
        <v>1300</v>
      </c>
      <c r="I27" s="4" t="s">
        <v>41</v>
      </c>
      <c r="J27" t="str">
        <f t="shared" si="1"/>
        <v>Chăm sóc tóc</v>
      </c>
      <c r="K27" s="3">
        <f t="shared" si="0"/>
        <v>0.13690476190476192</v>
      </c>
    </row>
    <row r="28" spans="1:11" x14ac:dyDescent="0.3">
      <c r="A28">
        <v>108919</v>
      </c>
      <c r="B28" t="s">
        <v>35</v>
      </c>
      <c r="C28">
        <v>339000</v>
      </c>
      <c r="D28">
        <v>399000</v>
      </c>
      <c r="E28">
        <v>61000</v>
      </c>
      <c r="F28">
        <v>20679000000</v>
      </c>
      <c r="G28">
        <v>5</v>
      </c>
      <c r="H28">
        <v>17600</v>
      </c>
      <c r="I28" s="4" t="s">
        <v>41</v>
      </c>
      <c r="J28" t="str">
        <f t="shared" si="1"/>
        <v>Tẩy tế bào chết</v>
      </c>
      <c r="K28" s="3">
        <f t="shared" si="0"/>
        <v>0.15037593984962405</v>
      </c>
    </row>
    <row r="29" spans="1:11" x14ac:dyDescent="0.3">
      <c r="A29">
        <v>108920</v>
      </c>
      <c r="B29" t="s">
        <v>36</v>
      </c>
      <c r="C29">
        <v>375000</v>
      </c>
      <c r="D29">
        <v>457000</v>
      </c>
      <c r="E29">
        <v>67500</v>
      </c>
      <c r="F29">
        <v>25312500000</v>
      </c>
      <c r="G29">
        <v>4.8</v>
      </c>
      <c r="H29">
        <v>19500</v>
      </c>
      <c r="I29" s="4" t="s">
        <v>41</v>
      </c>
      <c r="J29" t="str">
        <f t="shared" si="1"/>
        <v>Chăm sóc tóc</v>
      </c>
      <c r="K29" s="3">
        <f t="shared" si="0"/>
        <v>0.17943107221006566</v>
      </c>
    </row>
    <row r="30" spans="1:11" x14ac:dyDescent="0.3">
      <c r="A30">
        <v>108921</v>
      </c>
      <c r="B30" t="s">
        <v>37</v>
      </c>
      <c r="C30">
        <v>420000</v>
      </c>
      <c r="D30">
        <v>516000</v>
      </c>
      <c r="E30">
        <v>37600</v>
      </c>
      <c r="F30">
        <v>15792000000</v>
      </c>
      <c r="G30">
        <v>4.8</v>
      </c>
      <c r="H30">
        <v>10900</v>
      </c>
      <c r="I30" s="4" t="s">
        <v>41</v>
      </c>
      <c r="J30" t="str">
        <f t="shared" si="1"/>
        <v>Combo/Set</v>
      </c>
      <c r="K30" s="3">
        <f t="shared" si="0"/>
        <v>0.18604651162790697</v>
      </c>
    </row>
    <row r="31" spans="1:11" x14ac:dyDescent="0.3">
      <c r="A31">
        <v>108922</v>
      </c>
      <c r="B31" t="s">
        <v>38</v>
      </c>
      <c r="C31">
        <v>480000</v>
      </c>
      <c r="D31">
        <v>555000</v>
      </c>
      <c r="E31">
        <v>69200</v>
      </c>
      <c r="F31">
        <v>33216000000</v>
      </c>
      <c r="G31">
        <v>5</v>
      </c>
      <c r="H31">
        <v>20000</v>
      </c>
      <c r="I31" s="4" t="s">
        <v>41</v>
      </c>
      <c r="J31" t="str">
        <f t="shared" si="1"/>
        <v>Combo/Set</v>
      </c>
      <c r="K31" s="3">
        <f t="shared" si="0"/>
        <v>0.13513513513513514</v>
      </c>
    </row>
  </sheetData>
  <hyperlinks>
    <hyperlink ref="I2" r:id="rId1" xr:uid="{CCADA208-C6F7-4129-A2DF-90952A434643}"/>
    <hyperlink ref="I3:I31" r:id="rId2" display="https://shopee.vn/cocoonvietnam_official" xr:uid="{A3ECB579-6B93-4A3D-BA8E-548FA1DDF69E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Thiên Ân Nguyễn Đòan</cp:lastModifiedBy>
  <dcterms:created xsi:type="dcterms:W3CDTF">2026-10-20T14:25:57Z</dcterms:created>
  <dcterms:modified xsi:type="dcterms:W3CDTF">2026-10-28T14:33:19Z</dcterms:modified>
</cp:coreProperties>
</file>