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abe148337f8a3/Documents/các dl làm sạch/"/>
    </mc:Choice>
  </mc:AlternateContent>
  <xr:revisionPtr revIDLastSave="0" documentId="8_{C3EB6542-E554-4946-A1D9-234BA6533396}" xr6:coauthVersionLast="47" xr6:coauthVersionMax="47" xr10:uidLastSave="{00000000-0000-0000-0000-000000000000}"/>
  <bookViews>
    <workbookView xWindow="-108" yWindow="-108" windowWidth="23256" windowHeight="12456" xr2:uid="{76CDC6FF-1444-408F-8309-1F50D3F776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2" i="1"/>
</calcChain>
</file>

<file path=xl/sharedStrings.xml><?xml version="1.0" encoding="utf-8"?>
<sst xmlns="http://schemas.openxmlformats.org/spreadsheetml/2006/main" count="181" uniqueCount="181">
  <si>
    <t>Mã SP</t>
  </si>
  <si>
    <t>Tên sản phẩm</t>
  </si>
  <si>
    <t>Giá bán</t>
  </si>
  <si>
    <t>Giá gốc</t>
  </si>
  <si>
    <t>Doanh thu 30 ngày</t>
  </si>
  <si>
    <t>Điểm đánh giá TB</t>
  </si>
  <si>
    <t>Link SP</t>
  </si>
  <si>
    <t>Tinh Chất Dưỡng Tóc Cocoon Hỗ Trợ Phục Hồi &amp; Bảo Vệ 70ml</t>
  </si>
  <si>
    <t>https://hasaki.vn/san-pham/serum-cocoon-ho-tro-phuc-hoi-toc-70ml-84641.html</t>
  </si>
  <si>
    <t>Tẩy Da Chết Toàn Thân Cocoon Cà Phê Đắk Lắk 200ml</t>
  </si>
  <si>
    <t>https://hasaki.vn/san-pham/ca-phe-dak-lak-tay-da-chet-toan-than-cocoon-200ml-84643.html</t>
  </si>
  <si>
    <t>Mặt Nạ Cocoon Bí Đao Giảm Dầu &amp; Mụn 30ml</t>
  </si>
  <si>
    <t>https://hasaki.vn/san-pham/mat-na-cocoon-chiet-xuat-bi-dao-giam-dau-mun-30ml-86705.html</t>
  </si>
  <si>
    <t>Son Dưỡng Cocoon Dầu Dừa Bến Tre 5g</t>
  </si>
  <si>
    <t>https://hasaki.vn/san-pham/son-duong-dau-dua-ben-tre-cocoon-5g-86707.html</t>
  </si>
  <si>
    <t>Dầu Tẩy Trang Cocoon Chiết Xuất Hoa Hồng 140ml</t>
  </si>
  <si>
    <t>https://hasaki.vn/san-pham/dau-tay-trang-cocoon-chiet-xuat-hoa-hong-140ml-88369.html</t>
  </si>
  <si>
    <t>Kem Dưỡng Cocoon Dạng Thạch Hoa Hồng Dưỡng Ẩm Da 30ml</t>
  </si>
  <si>
    <t>https://hasaki.vn/san-pham/kem-duong-cocoon-duong-am-dang-thach-tu-hoa-hong-30ml-90741.html</t>
  </si>
  <si>
    <t>Tẩy Da Chết Môi Cocoon Từ Cà Phê Đắk Lắk 5g</t>
  </si>
  <si>
    <t>https://hasaki.vn/san-pham/tay-te-bao-chet-moi-cocoon-tu-ca-phe-dak-lak-5g-91595.html</t>
  </si>
  <si>
    <t>Nước Tẩy Trang Bí Đao Cocoon Làm Sạch &amp; Giảm Dầu 500ml</t>
  </si>
  <si>
    <t>https://hasaki.vn/san-pham/nuoc-tay-trang-cocoon-chiet-xuat-bi-dao-lam-sach-da-500ml-91747.html</t>
  </si>
  <si>
    <t>Tẩy Da Chết Mặt Cocoon Cà Phê Đắk Lắk 150ml</t>
  </si>
  <si>
    <t>https://hasaki.vn/san-pham/ca-phe-dak-lak-lam-sach-da-chet-cho-mat-cocoon-150ml-92215.html</t>
  </si>
  <si>
    <t>Combo 2 Tẩy Da Chết Mặt Cocoon Cà Phê Đắk Lắk 150ml</t>
  </si>
  <si>
    <t>https://hasaki.vn/san-pham/bo-doi-ca-phe-dak-lak-lam-sach-da-chet-cho-mat-cocoon-92253.html</t>
  </si>
  <si>
    <t>Gel Rửa Mặt Cocoon Chiết Xuất Từ Hoa Hồng 140ml</t>
  </si>
  <si>
    <t>https://hasaki.vn/san-pham/gel-rua-mat-cocoon-chiet-xuat-tu-hoa-hong-140ml-93917.html</t>
  </si>
  <si>
    <t>Tinh Chất Cocoon Cấp Nước &amp; Cấp Ẩm Sâu Từ Hoa Hồng 30ml</t>
  </si>
  <si>
    <t>https://hasaki.vn/san-pham/tinh-chat-cocoon-cap-nuoc-cap-am-sau-tu-hoa-hong-30ml-94089.html</t>
  </si>
  <si>
    <t>Nước Cân Bằng Cocoon Chiết Xuất Từ Nghệ Hưng Yên 140ml</t>
  </si>
  <si>
    <t>https://hasaki.vn/san-pham/nuoc-hoa-hong-cocoon-chiet-xuat-tu-nghe-hung-yen-140ml-94275.html</t>
  </si>
  <si>
    <t>Sữa Rửa Mặt Cocoon Chiết Xuất Từ Nghệ Hưng Yên 140ml</t>
  </si>
  <si>
    <t>https://hasaki.vn/san-pham/sua-rua-mat-cocoon-chiet-xuat-tu-nghe-hung-yen-140ml-94277.html</t>
  </si>
  <si>
    <t>Mặt Nạ Nghệ Hưng Yên Cocoon Giúp Da Rạng Rỡ Mịn Màng 30ml</t>
  </si>
  <si>
    <t>https://hasaki.vn/san-pham/mat-na-cocoon-chiet-xuat-tu-nghe-hung-yen-30ml-94767.html</t>
  </si>
  <si>
    <t>Tinh Chất Cocoon Chiết Xuất Từ Nghệ Hưng Yên 30ml</t>
  </si>
  <si>
    <t>https://hasaki.vn/san-pham/tinh-chat-cocoon-chiet-xuat-tu-nghe-hung-yen-30ml-94769.html</t>
  </si>
  <si>
    <t>Gel Rửa Mặt Cocoon Bí Đao Giúp Giảm Dầu &amp; Mụn 310ml</t>
  </si>
  <si>
    <t>https://hasaki.vn/san-pham/gel-rua-mat-cocoon-chiet-xuat-bi-dao-310ml-95751.html</t>
  </si>
  <si>
    <t>Nước Cân Bằng Cocoon Bí Đao Giảm Dầu &amp; Mụn 310ml</t>
  </si>
  <si>
    <t>https://hasaki.vn/san-pham/nuoc-can-bang-cocoon-chiet-xuat-bi-dao-310ml-95753.html</t>
  </si>
  <si>
    <t>Mặt Nạ Nghệ Hưng Yên Cocoon Giúp Da Rạng Rỡ Mịn Màng 100ml</t>
  </si>
  <si>
    <t>https://hasaki.vn/san-pham/mat-na-nghe-hung-yen-cocoon-giup-da-rang-ro-min-mang-100ml-96269.html</t>
  </si>
  <si>
    <t>Nước Tẩy Trang Cocoon Bí Đao Làm Sạch &amp; Giảm Dầu 140ml</t>
  </si>
  <si>
    <t>https://hasaki.vn/san-pham/nuoc-tay-trang-bi-dao-cocoon-lam-sach-giam-dau-140ml-96273.html</t>
  </si>
  <si>
    <t>Combo 2 Nước Tẩy Trang Bí Đao Cocoon Làm Sạch &amp; Giảm Dầu 500ml</t>
  </si>
  <si>
    <t>https://hasaki.vn/san-pham/combo-2-nuoc-tay-trang-bi-dao-cocoon-lam-sach-giam-dau-500ml-96589.html</t>
  </si>
  <si>
    <t>Tinh Chất Bí Đao Cocoon Làm Giảm Mụn, Mờ Thâm 70ml</t>
  </si>
  <si>
    <t>https://hasaki.vn/san-pham/tinh-chat-bi-dao-cocoon-lam-giam-mun-mo-tham-70ml-moi-96811.html</t>
  </si>
  <si>
    <t>Dầu Xả Bưởi Cocoon Cung Cấp Dưỡng Chất &amp; Độ Ẩm 310ml</t>
  </si>
  <si>
    <t>https://hasaki.vn/san-pham/dau-xa-buoi-cocoon-cung-cap-duong-chat-do-am-310ml-97357.html</t>
  </si>
  <si>
    <t>Dầu Gội Bưởi Cocoon Không Sulfate Và Giảm Gãy Rụng 310ml</t>
  </si>
  <si>
    <t>https://hasaki.vn/san-pham/dau-goi-buoi-cocoon-giam-gay-rung-kich-thich-moc-toc-310ml-97359.html</t>
  </si>
  <si>
    <t>Bộ Gội Xả Bưởi Cocoon Không Sulfate Và Giảm Gãy Rụng (310ml/chai)</t>
  </si>
  <si>
    <t>https://hasaki.vn/san-pham/bo-goi-xa-buoi-cocoon-giam-gay-rung-toc-310ml-chai-97505.html</t>
  </si>
  <si>
    <t>Combo 2 Tẩy Da Chết Toàn Thân Cocoon Cà Phê Đắk Lắk 200ml</t>
  </si>
  <si>
    <t>https://hasaki.vn/san-pham/combo-tay-da-chet-toan-than-cocoon-tu-ca-phe-dak-lak-2x200ml-97567.html</t>
  </si>
  <si>
    <t>Kem Dưỡng Cocoon Dạng Thạch Bí Đao Giảm Dầu &amp; Mụn 30ml</t>
  </si>
  <si>
    <t>https://hasaki.vn/san-pham/thach-bi-dao-cocoon-cung-cap-am-va-ngan-ngua-mun-30ml-98121.html</t>
  </si>
  <si>
    <t>Xịt Khoáng Cocoon Nghệ Hưng Yên Giúp Sáng Da 130ml</t>
  </si>
  <si>
    <t>https://hasaki.vn/san-pham/xit-khoang-cocoon-nghe-hung-yen-giup-sang-da-130ml-98573.html</t>
  </si>
  <si>
    <t>Túi Refill Tẩy Da Chết Toàn Thân Cocoon Sạch Da 600ml</t>
  </si>
  <si>
    <t>https://hasaki.vn/san-pham/tui-refill-tay-te-bao-chet-toan-than-cocoon-sach-da-600ml-99505.html</t>
  </si>
  <si>
    <t>Tẩy Da Chết Toàn Thân Cocoon Đường Thốt Nốt An Giang 200ml</t>
  </si>
  <si>
    <t>https://hasaki.vn/san-pham/tay-da-chet-co-the-cocoon-duong-thot-not-an-giang-200ml-100109.html</t>
  </si>
  <si>
    <t>Gel Rửa Mặt Cocoon Bí Đao Giúp Giảm Dầu &amp; Mụn 140ml</t>
  </si>
  <si>
    <t>https://hasaki.vn/san-pham/gel-rua-mat-bi-dao-cocoon-lam-giam-dau-mun-140ml-2022-100391.html</t>
  </si>
  <si>
    <t>Nước Cân Bằng Cocoon Bí Đao Giảm Dầu &amp; Mụn 140ml</t>
  </si>
  <si>
    <t>https://hasaki.vn/san-pham/nuoc-can-bang-cocoon-chiet-xuat-bi-dao-140ml-2022-100393.html</t>
  </si>
  <si>
    <t>Nước Dưỡng Tóc Cocoon Sa-Chi Cấp Ẩm, Phục Hồi Hư Tổn 140ml</t>
  </si>
  <si>
    <t>https://hasaki.vn/san-pham/nuoc-duong-toc-cocoon-sa-chi-cap-am-phuc-hoi-hu-ton-140ml-100835.html</t>
  </si>
  <si>
    <t>Combo 2 Nước Tẩy Trang Cocoon Bí Đao Làm Sạch &amp; Giảm Dầu 140ml</t>
  </si>
  <si>
    <t>https://hasaki.vn/san-pham/mua-1-tang-1-cocoon-nuoc-tay-trang-bi-dao-140ml-tang-nuoc-tay-trang-bi-dao-140ml-101111.html</t>
  </si>
  <si>
    <t>Combo Cocoon Big Size Tẩy Da Chết Toàn Thân 600ml &amp; Mặt Từ Cà Phê Đắk Lắk 150ml</t>
  </si>
  <si>
    <t>https://hasaki.vn/san-pham/combo-cocoon-tui-refill-tay-da-chet-toan-than-da-mat-101467.html</t>
  </si>
  <si>
    <t>Sữa Rửa Mặt Cocoon Chiết Xuất Từ Nghệ Hưng Yên 310ml</t>
  </si>
  <si>
    <t>https://hasaki.vn/san-pham/sua-rua-mat-cocoon-chiet-xuat-tu-nghe-hung-yen-310ml-101935.html</t>
  </si>
  <si>
    <t>Tinh Chất Cocoon Nghệ Hưng Yên x2.2 Sáng Da Chuyên Sâu 30ml</t>
  </si>
  <si>
    <t>https://hasaki.vn/san-pham/tinh-chat-cocoon-nghe-hung-yen-x2-2-sang-da-chuyen-sau-30ml-102383.html</t>
  </si>
  <si>
    <t>Combo Tẩy Da Chết Cho Mặt &amp; Toàn Thân Từ Cà Phê Đắk Lắk (150ml+200ml)</t>
  </si>
  <si>
    <t>https://hasaki.vn/san-pham/combo-cocoon-tay-te-bao-chet-cho-mat-va-toan-than-tu-ca-phe-103451.html</t>
  </si>
  <si>
    <t>Combo 2 Tẩy Da Chết Toàn Thân Cocoon Đường Thốt Nốt An Giang 200ml</t>
  </si>
  <si>
    <t>https://hasaki.vn/san-pham/combo-2-tay-da-chet-toan-than-cocoon-duong-thot-not-an-giang-200ml-103627.html</t>
  </si>
  <si>
    <t>Combo 2 Son Dưỡng Cocoon Dầu Dừa Bến Tre 5g</t>
  </si>
  <si>
    <t>https://hasaki.vn/san-pham/combo-2-son-duong-cocoon-dau-dua-ben-tre-5g-103629.html</t>
  </si>
  <si>
    <t>Kem Chống Nắng Cocoon Bí Đao Quang Phổ Rộng 50ml</t>
  </si>
  <si>
    <t>https://hasaki.vn/san-pham/kem-chong-nang-cocoon-bi-dao-quang-pho-rong-50ml-103871.html</t>
  </si>
  <si>
    <t>Combo 2 Mặt Nạ Nghệ Hưng Yên Cocoon Dưỡng Da Mịn Màng 30ml</t>
  </si>
  <si>
    <t>https://hasaki.vn/san-pham/combo-2-mat-na-nghe-hung-yen-cocoon-duong-da-min-mang-30ml-104359.html</t>
  </si>
  <si>
    <t>Combo 2 Xịt Khoáng Cocoon Nghệ Hưng Yên Sáng Da 130ml</t>
  </si>
  <si>
    <t>https://hasaki.vn/san-pham/combo-2-xit-khoang-cocoon-nghe-hung-yen-sang-da-130ml-104361.html</t>
  </si>
  <si>
    <t>Combo Cocoon Gel Rửa Mặt Bí Đao 140ml + Nước Cân Bằng Bí Đao 140ml</t>
  </si>
  <si>
    <t>https://hasaki.vn/san-pham/combo-cocoon-gel-rua-mat-nuoc-can-bang-bi-dao-2x140ml-105189.html</t>
  </si>
  <si>
    <t>Nước Dưỡng Tóc Cocoon Tinh Dầu Bưởi 140ml (Mới)</t>
  </si>
  <si>
    <t>https://hasaki.vn/san-pham/phien-ban-moi-nuoc-duong-toc-cocoon-tinh-dau-buoi-140ml-105519.html</t>
  </si>
  <si>
    <t>Combo 2 Nước Dưỡng Tóc Cocoon Tinh Dầu Bưởi Phiên Bản Mới 140ml</t>
  </si>
  <si>
    <t>https://hasaki.vn/san-pham/combo-2-nuoc-duong-toc-cocoon-tinh-dau-buoi-phien-ban-moi-140ml-105873.html</t>
  </si>
  <si>
    <t>Combo Cocoon Nước Dưỡng Tóc Tinh Dầu Bưởi 140ml &amp; Nước Dưỡng Tóc Sa-Chi 140ml</t>
  </si>
  <si>
    <t>https://hasaki.vn/san-pham/combo-2-nuoc-nuoc-duong-toc-cocoon-tinh-dau-buoi-sa-chi-140ml-106535.html</t>
  </si>
  <si>
    <t>Kem Ủ Tóc Bưởi Cocoon Giảm Gãy Rụng Và Làm Mềm Tóc 200ml</t>
  </si>
  <si>
    <t>https://hasaki.vn/san-pham/kem-u-toc-buoi-cocoon-giam-gay-rung-va-lam-mem-toc-200ml-107251.html</t>
  </si>
  <si>
    <t>Combo Cocoon Dầu Gội 310ml + Nước Dưỡng Tóc 140ml Tinh Dầu Bưởi</t>
  </si>
  <si>
    <t>https://hasaki.vn/san-pham/combo-cocoon-dau-goi-nuoc-duong-toc-tinh-dau-buoi-107483.html</t>
  </si>
  <si>
    <t>Nước Dưỡng Tóc Cocoon Tinh Dầu Bưởi 310ml</t>
  </si>
  <si>
    <t>https://hasaki.vn/san-pham/nuoc-duong-toc-cocoon-tinh-dau-buoi-310ml-107840.html</t>
  </si>
  <si>
    <t>Combo Cocoon Nước Tẩy Trang Bí Đao 500ml + Gel Rửa Mặt Bí Đao 310ml</t>
  </si>
  <si>
    <t>https://hasaki.vn/san-pham/combo-cocoon-nuoc-tay-trang-bi-dao-500ml-gel-rua-mat-bi-dao-310ml-107934.html</t>
  </si>
  <si>
    <t>Combo 2 Tinh Chất Bí Đao Cocoon Làm Giảm Mụn, Mờ Thâm 70ml</t>
  </si>
  <si>
    <t>https://hasaki.vn/san-pham/combo-2-serum-bi-dao-cocoon-lam-giam-mun-mo-tham-70ml-109272.html</t>
  </si>
  <si>
    <t>Combo Cocoon Dầu Gội Bưởi 310ml + Nước Dưỡng Tóc Tinh Dầu Bưởi 310ml</t>
  </si>
  <si>
    <t>https://hasaki.vn/san-pham/combo-cocoon-dau-goi-buoi-310ml-nuoc-duong-toc-tinh-dau-buoi-310ml-110442.html</t>
  </si>
  <si>
    <t>Combo 2 Kem Chống Nắng Cocoon Bí Đao Quang Phổ Rộng 50ml</t>
  </si>
  <si>
    <t>https://hasaki.vn/san-pham/combo-2-kem-chong-nang-cocoon-bi-dao-quang-pho-rong-50ml-110648.html</t>
  </si>
  <si>
    <t>Dầu Gội Bưởi Cocoon Không Sulfate Và Giảm Gãy Rụng 500ml</t>
  </si>
  <si>
    <t>https://hasaki.vn/san-pham/dau-goi-buoi-cocoon-giam-rung-kich-thich-moc-toc-500ml-112793.html</t>
  </si>
  <si>
    <t>Bộ Gội Xả Bưởi Cocoon Không Sulfate Và Giảm Gãy Rụng 500ml+310ml</t>
  </si>
  <si>
    <t>https://hasaki.vn/san-pham/bo-goi-xa-buoi-cocoon-giam-gay-rung-toc-500ml-310ml-113217.html</t>
  </si>
  <si>
    <t>Sữa Chống Nắng Cocoon Bí Đao Quang Phổ Rộng 50ml</t>
  </si>
  <si>
    <t>https://hasaki.vn/san-pham/sua-chong-nang-cocoon-chiet-xuat-bi-dao-quang-pho-rong-50ml-113453.html</t>
  </si>
  <si>
    <t>Combo Cocoon Nước Tẩy Trang 500ml + Tinh Chất Bí Đao Giảm Dầu Mụn, Mờ Thâm 70ml</t>
  </si>
  <si>
    <t>https://hasaki.vn/san-pham/combo-cocoon-nuoc-tay-trang-bi-dao-500ml-tinh-chat-bi-dao-70ml-114325.html</t>
  </si>
  <si>
    <t>Bộ Chăm Sóc Tóc Cocoon Dầu Gội 500ml + Dầu Xả 310ml + Nước Dưỡng Tóc Tinh Dầu Bưởi 140ml</t>
  </si>
  <si>
    <t>https://hasaki.vn/san-pham/bo-cham-soc-toc-cocoon-dau-goi-500ml-dau-xa-310ml-nuoc-duong-toc-tinh-dau-buoi-140ml-114573.html</t>
  </si>
  <si>
    <t>Combo 2 Túi Refill Tẩy Da Chết Toàn Thân Cocoon Sạch Da 600ml</t>
  </si>
  <si>
    <t>https://hasaki.vn/san-pham/combo-2-tui-refill-tay-da-chet-toan-than-cocoon-sach-da-600ml-116851.html</t>
  </si>
  <si>
    <t>Combo 2 Gel Rửa Mặt Cocoon Bí Đao Giúp Giảm Dầu &amp; Mụn 310ml</t>
  </si>
  <si>
    <t>https://hasaki.vn/san-pham/combo-2-gel-rua-mat-cocoon-bi-dao-giup-giam-dau-mun-310ml-116853.html</t>
  </si>
  <si>
    <t>Túi Refill Dầu Gội Bưởi Cocoon Không Sulfate Và Giảm Gãy Rụng 500ml</t>
  </si>
  <si>
    <t>https://hasaki.vn/san-pham/tui-refill-dau-goi-buoi-cocoon-giam-rung-ho-tro-moc-toc-500ml-118552.html</t>
  </si>
  <si>
    <t>Nước Cân Bằng Cocoon Sen Hậu Giang Làm Dịu Da Nhạy Cảm 140ml</t>
  </si>
  <si>
    <t>https://hasaki.vn/san-pham/nuoc-can-bang-cocoon-sen-hau-giang-lam-diu-da-nhay-cam-140ml-123736.html</t>
  </si>
  <si>
    <t>Nước Cân Bằng Cocoon Sen Hậu Giang Làm Dịu Da Nhạy Cảm 310ml</t>
  </si>
  <si>
    <t>https://hasaki.vn/san-pham/nuoc-can-bang-cocoon-sen-hau-giang-lam-diu-da-nhay-cam-310ml-123740.html</t>
  </si>
  <si>
    <t>Combo Cocoon Nước Cân Bằng Sen Hậu Giang 140ml + Nước Tẩy Trang Bí Đao 140ml</t>
  </si>
  <si>
    <t>https://hasaki.vn/san-pham/combo-cocoon-nuoc-can-bang-sen-hau-giang-nuoc-tay-trang-bi-dao-140mlx2-124092.html</t>
  </si>
  <si>
    <t>Combo Cocoon Nước Cân Bằng Sen Hậu Giang 310ml + Nước Tẩy Trang Bí Đao 500ml</t>
  </si>
  <si>
    <t>https://hasaki.vn/san-pham/combo-cocoon-nuoc-can-bang-sen-hau-giang-310ml-nuoc-tay-trang-bi-dao-500ml-124096.html</t>
  </si>
  <si>
    <t>Combo 2 Sữa Chống Nắng Cocoon Bí Đao Quang Phổ Rộng 50ml</t>
  </si>
  <si>
    <t>https://hasaki.vn/san-pham/combo-2-sua-chong-nang-cocoon-chiet-xuat-bi-dao-quang-pho-rong-50ml-124732.html</t>
  </si>
  <si>
    <t>Combo Cocoon Nước Dưỡng Tóc Tinh Dầu Bưởi 140ml+310ml</t>
  </si>
  <si>
    <t>https://hasaki.vn/san-pham/combo-cocoon-nuoc-duong-toc-tinh-dau-buoi-140ml-310ml-127324.html</t>
  </si>
  <si>
    <t>Combo Dầu Gội Bưởi Cocoon Không Sulfate Và Giảm Gãy Rụng 310ml+500ml</t>
  </si>
  <si>
    <t>https://hasaki.vn/san-pham/combo-dau-goi-buoi-cocoon-giam-rung-kich-thich-moc-toc-310ml-500ml-127508.html</t>
  </si>
  <si>
    <t>Combo 2 Nước Dưỡng Tóc Cocoon Tinh Dầu Bưởi 310ml</t>
  </si>
  <si>
    <t>https://hasaki.vn/san-pham/combo-2-nuoc-duong-toc-cocoon-tinh-dau-buoi-310ml-130276.html</t>
  </si>
  <si>
    <t>Dầu Tẩy Trang Cocoon Chiết Xuất Hoa Hồng 310ml</t>
  </si>
  <si>
    <t>https://hasaki.vn/san-pham/dau-tay-trang-cocoon-chiet-xuat-hoa-hong-310ml-135269.html</t>
  </si>
  <si>
    <t>Combo Cocoon Mặt Nạ Nghệ Hưng Yên &amp; Tẩy Da Chết Toàn Thân Cà Phê Đắk Lắk 30ml+200ml</t>
  </si>
  <si>
    <t>https://hasaki.vn/san-pham/combo-cocoon-mat-na-nghe-hung-yen-tay-da-chet-toan-than-ca-phe-dak-lak-30ml-200ml-137395.html</t>
  </si>
  <si>
    <t>Nước Dưỡng Tóc Cocoon Bồ Kết Giảm Gàu Cho Da Đầu Nhạy Cảm 140ml</t>
  </si>
  <si>
    <t>https://hasaki.vn/san-pham/nuoc-duong-toc-cocoon-bo-ket-giam-gau-cho-da-dau-nhay-cam-140ml-185748.html</t>
  </si>
  <si>
    <t>Nước Cân Bằng Cocoon Sen Hậu Giang Làm Dịu Da Nhạy Cảm 500ml</t>
  </si>
  <si>
    <t>https://hasaki.vn/san-pham/nuoc-can-bang-cocoon-sen-hau-giang-lam-diu-da-nhay-cam-500ml-195537.html</t>
  </si>
  <si>
    <t>Gel Tắm Cocoon Đường Thốt Nốt An Giang 500ml</t>
  </si>
  <si>
    <t>https://hasaki.vn/san-pham/gel-tam-cocoon-duong-thot-not-an-giang-500ml-195817.html</t>
  </si>
  <si>
    <t>Combo 2 Nước Cân Bằng Cocoon Sen Hậu Giang Làm Dịu Da Nhạy Cảm 310ml</t>
  </si>
  <si>
    <t>https://hasaki.vn/san-pham/combo-2-nuoc-can-bang-cocoon-sen-hau-giang-lam-diu-da-nhay-cam-310ml-197365.html</t>
  </si>
  <si>
    <t>Combo 2 Mặt Nạ Cocoon Bí Đao Giảm Dầu &amp; Mụn 30ml</t>
  </si>
  <si>
    <t>https://hasaki.vn/san-pham/combo-2-mat-na-cocoon-bi-dao-giam-dau-mun-30ml-198747.html</t>
  </si>
  <si>
    <t>Combo 2 Sữa Rửa Mặt Cocoon Chiết Xuất Từ Nghệ Hưng Yên 310ml</t>
  </si>
  <si>
    <t>https://hasaki.vn/san-pham/combo-2-sua-rua-mat-cocoon-chiet-xuat-tu-nghe-hung-yen-310ml-200403.html</t>
  </si>
  <si>
    <t>Combo Cocoon Gel Tắm Đường Thốt Nốt An Giang 500ml + Tẩy Da Chết Toàn Thân Đường Thốt Nốt An Giang 200ml</t>
  </si>
  <si>
    <t>https://hasaki.vn/san-pham/combo-cocoon-gel-tam-duong-thot-not-an-giang-500ml-tay-da-chet-toan-than-duong-thot-not-an-giang-200ml-202943.html</t>
  </si>
  <si>
    <t>Sữa Rửa Mặt Cocoon Sen Hậu Giang Làm Dịu Da Nhạy Cảm 310ml</t>
  </si>
  <si>
    <t>https://hasaki.vn/san-pham/sua-rua-mat-cocoon-sen-hau-giang-lam-diu-da-nhay-cam-310ml-242788.html</t>
  </si>
  <si>
    <t>Combo 2 Kem Dưỡng Cocoon Dạng Thạch Hoa Hồng Dưỡng Ẩm Da 30ml</t>
  </si>
  <si>
    <t>https://hasaki.vn/san-pham/combo-2-kem-duong-cocoon-dang-thach-hoa-hong-duong-am-da-30ml-245252.html</t>
  </si>
  <si>
    <t>Combo 2 Tinh Chất Cocoon Chiết Xuất Từ Nghệ Hưng Yên 30ml</t>
  </si>
  <si>
    <t>https://hasaki.vn/san-pham/combo-2-tinh-chat-cocoon-chiet-xuat-tu-nghe-hung-yen-30ml-247923.html</t>
  </si>
  <si>
    <t>Combo Cocoon Nước Cân Bằng Sen Hậu Giang 500ml + Nước Tẩy Trang Bí Đao 500ml</t>
  </si>
  <si>
    <t>https://hasaki.vn/san-pham/combo-cocoon-nuoc-can-bang-sen-hau-giang-500ml-nuoc-tay-trang-bi-dao-500ml-247927.html</t>
  </si>
  <si>
    <t>Mặt Nạ Cocoon Bí Đao Giảm Dầu &amp; Mụn 100ml (Mới)</t>
  </si>
  <si>
    <t>https://hasaki.vn/san-pham/mat-na-cocoon-bi-dao-giam-dau-mun-100ml-moi-248612.html</t>
  </si>
  <si>
    <t>Tổng lượt đánh giá tích lũy</t>
  </si>
  <si>
    <t>Category</t>
  </si>
  <si>
    <t>Trang_Thai_Mau</t>
  </si>
  <si>
    <t>Doanh_Thu_Niem_Yet</t>
  </si>
  <si>
    <t>Lượt bán (30 ngày)</t>
  </si>
  <si>
    <t>% Chênh lệch giá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</si>
</sst>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  <charset val="163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2" fillId="0" borderId="0" xfId="0" applyFont="1"/>
    <xf numFmtId="0" fontId="0" fillId="0" borderId="0" xfId="1" applyNumberFormat="1" applyFont="1"/>
    <xf numFmtId="0" fontId="4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5008E-30B2-4A35-965E-AFFFF37A1582}">
  <dimension ref="A1:M85"/>
  <sheetViews>
    <sheetView tabSelected="1" topLeftCell="I1" workbookViewId="0">
      <selection activeCell="M13" sqref="M13"/>
    </sheetView>
  </sheetViews>
  <sheetFormatPr defaultRowHeight="14.4" x14ac:dyDescent="0.3"/>
  <cols>
    <col min="2" max="2" width="97.109375" bestFit="1" customWidth="1"/>
    <col min="6" max="6" width="17" bestFit="1" customWidth="1"/>
    <col min="7" max="7" width="15.77734375" bestFit="1" customWidth="1"/>
    <col min="8" max="8" width="17.21875" bestFit="1" customWidth="1"/>
    <col min="9" max="9" width="129.5546875" bestFit="1" customWidth="1"/>
    <col min="10" max="10" width="14.44140625" bestFit="1" customWidth="1"/>
    <col min="11" max="11" width="14" bestFit="1" customWidth="1"/>
    <col min="12" max="12" width="18.88671875" bestFit="1" customWidth="1"/>
    <col min="13" max="13" width="18.21875" style="4" bestFit="1" customWidth="1"/>
  </cols>
  <sheetData>
    <row r="1" spans="1:13" x14ac:dyDescent="0.3">
      <c r="A1" s="3" t="s">
        <v>0</v>
      </c>
      <c r="B1" s="7" t="s">
        <v>1</v>
      </c>
      <c r="C1" s="7" t="s">
        <v>2</v>
      </c>
      <c r="D1" s="7" t="s">
        <v>3</v>
      </c>
      <c r="E1" s="7" t="s">
        <v>179</v>
      </c>
      <c r="F1" s="7" t="s">
        <v>4</v>
      </c>
      <c r="G1" s="7" t="s">
        <v>5</v>
      </c>
      <c r="H1" s="7" t="s">
        <v>175</v>
      </c>
      <c r="I1" s="7" t="s">
        <v>6</v>
      </c>
      <c r="J1" s="6" t="s">
        <v>176</v>
      </c>
      <c r="K1" s="6" t="s">
        <v>177</v>
      </c>
      <c r="L1" s="6" t="s">
        <v>178</v>
      </c>
      <c r="M1" s="5" t="s">
        <v>180</v>
      </c>
    </row>
    <row r="2" spans="1:13" x14ac:dyDescent="0.3">
      <c r="A2" s="2">
        <v>84641</v>
      </c>
      <c r="B2" s="1" t="s">
        <v>7</v>
      </c>
      <c r="C2" s="2">
        <v>145000</v>
      </c>
      <c r="D2" s="2">
        <v>191000</v>
      </c>
      <c r="E2" s="2">
        <v>14</v>
      </c>
      <c r="F2" s="2">
        <v>1924000</v>
      </c>
      <c r="G2" s="1">
        <v>4.8</v>
      </c>
      <c r="H2" s="2">
        <v>17</v>
      </c>
      <c r="I2" s="1" t="s">
        <v>8</v>
      </c>
      <c r="J2" t="str">
        <f>IF(ISNUMBER(SEARCH("combo", B2)), "Combo/Set", IF(ISNUMBER(SEARCH("tẩy", B2)), "Tẩy tế bào chết", IF(ISNUMBER(SEARCH("rửa mặt", B2)), "Làm sạch mặt", IF(ISNUMBER(SEARCH("tóc", B2)), "Chăm sóc tóc", IF(ISNUMBER(SEARCH("xịt khoáng", B2)), "Toner/Xịt khoáng", "Khác")))))</f>
        <v>Chăm sóc tóc</v>
      </c>
      <c r="K2" t="str">
        <f>IF(H2&lt;5, "Mẫu nhỏ ", "Mẫu hợp lệ")</f>
        <v>Mẫu hợp lệ</v>
      </c>
      <c r="L2">
        <f xml:space="preserve"> D2 * E2</f>
        <v>2674000</v>
      </c>
      <c r="M2" s="4">
        <f xml:space="preserve"> MAX(0, ROUND((1 - (F2 / L2)) * 100, 2))</f>
        <v>28.05</v>
      </c>
    </row>
    <row r="3" spans="1:13" x14ac:dyDescent="0.3">
      <c r="A3" s="2">
        <v>84643</v>
      </c>
      <c r="B3" s="1" t="s">
        <v>9</v>
      </c>
      <c r="C3" s="2">
        <v>95000</v>
      </c>
      <c r="D3" s="2">
        <v>133000</v>
      </c>
      <c r="E3" s="2">
        <v>132</v>
      </c>
      <c r="F3" s="2">
        <v>12530000</v>
      </c>
      <c r="G3" s="1">
        <v>5</v>
      </c>
      <c r="H3" s="2">
        <v>131</v>
      </c>
      <c r="I3" s="1" t="s">
        <v>10</v>
      </c>
      <c r="J3" t="str">
        <f t="shared" ref="J3:J66" si="0">IF(ISNUMBER(SEARCH("combo", B3)), "Combo/Set", IF(ISNUMBER(SEARCH("tẩy", B3)), "Tẩy tế bào chết", IF(ISNUMBER(SEARCH("rửa mặt", B3)), "Làm sạch mặt", IF(ISNUMBER(SEARCH("tóc", B3)), "Chăm sóc tóc", IF(ISNUMBER(SEARCH("xịt khoáng", B3)), "Toner/Xịt khoáng", "Khác")))))</f>
        <v>Tẩy tế bào chết</v>
      </c>
      <c r="K3" t="str">
        <f t="shared" ref="K3:K66" si="1">IF(H3&lt;5, "Mẫu nhỏ ", "Mẫu hợp lệ")</f>
        <v>Mẫu hợp lệ</v>
      </c>
      <c r="L3">
        <f t="shared" ref="L3:L66" si="2" xml:space="preserve"> D3 * E3</f>
        <v>17556000</v>
      </c>
      <c r="M3" s="4">
        <f t="shared" ref="M3:M66" si="3" xml:space="preserve"> MAX(0, ROUND((1 - (F3 / L3)) * 100, 2))</f>
        <v>28.63</v>
      </c>
    </row>
    <row r="4" spans="1:13" x14ac:dyDescent="0.3">
      <c r="A4" s="2">
        <v>86705</v>
      </c>
      <c r="B4" s="1" t="s">
        <v>11</v>
      </c>
      <c r="C4" s="2">
        <v>115000</v>
      </c>
      <c r="D4" s="2">
        <v>152000</v>
      </c>
      <c r="E4" s="2">
        <v>68</v>
      </c>
      <c r="F4" s="2">
        <v>7776000</v>
      </c>
      <c r="G4" s="1">
        <v>4.9000000000000004</v>
      </c>
      <c r="H4" s="2">
        <v>36</v>
      </c>
      <c r="I4" s="1" t="s">
        <v>12</v>
      </c>
      <c r="J4" t="str">
        <f t="shared" si="0"/>
        <v>Khác</v>
      </c>
      <c r="K4" t="str">
        <f t="shared" si="1"/>
        <v>Mẫu hợp lệ</v>
      </c>
      <c r="L4">
        <f t="shared" si="2"/>
        <v>10336000</v>
      </c>
      <c r="M4" s="4">
        <f t="shared" si="3"/>
        <v>24.77</v>
      </c>
    </row>
    <row r="5" spans="1:13" x14ac:dyDescent="0.3">
      <c r="A5" s="2">
        <v>86707</v>
      </c>
      <c r="B5" s="1" t="s">
        <v>13</v>
      </c>
      <c r="C5" s="2">
        <v>24000</v>
      </c>
      <c r="D5" s="2">
        <v>32000</v>
      </c>
      <c r="E5" s="2">
        <v>532</v>
      </c>
      <c r="F5" s="2">
        <v>12765000</v>
      </c>
      <c r="G5" s="1">
        <v>4.9000000000000004</v>
      </c>
      <c r="H5" s="2">
        <v>63</v>
      </c>
      <c r="I5" s="1" t="s">
        <v>14</v>
      </c>
      <c r="J5" t="str">
        <f t="shared" si="0"/>
        <v>Khác</v>
      </c>
      <c r="K5" t="str">
        <f t="shared" si="1"/>
        <v>Mẫu hợp lệ</v>
      </c>
      <c r="L5">
        <f t="shared" si="2"/>
        <v>17024000</v>
      </c>
      <c r="M5" s="4">
        <f t="shared" si="3"/>
        <v>25.02</v>
      </c>
    </row>
    <row r="6" spans="1:13" x14ac:dyDescent="0.3">
      <c r="A6" s="2">
        <v>88369</v>
      </c>
      <c r="B6" s="1" t="s">
        <v>15</v>
      </c>
      <c r="C6" s="2">
        <v>119000</v>
      </c>
      <c r="D6" s="2">
        <v>180000</v>
      </c>
      <c r="E6" s="2">
        <v>105</v>
      </c>
      <c r="F6" s="2">
        <v>12416000</v>
      </c>
      <c r="G6" s="1">
        <v>4.9000000000000004</v>
      </c>
      <c r="H6" s="2">
        <v>14</v>
      </c>
      <c r="I6" s="1" t="s">
        <v>16</v>
      </c>
      <c r="J6" t="str">
        <f t="shared" si="0"/>
        <v>Tẩy tế bào chết</v>
      </c>
      <c r="K6" t="str">
        <f t="shared" si="1"/>
        <v>Mẫu hợp lệ</v>
      </c>
      <c r="L6">
        <f t="shared" si="2"/>
        <v>18900000</v>
      </c>
      <c r="M6" s="4">
        <f t="shared" si="3"/>
        <v>34.31</v>
      </c>
    </row>
    <row r="7" spans="1:13" x14ac:dyDescent="0.3">
      <c r="A7" s="2">
        <v>90741</v>
      </c>
      <c r="B7" s="1" t="s">
        <v>17</v>
      </c>
      <c r="C7" s="2">
        <v>145000</v>
      </c>
      <c r="D7" s="2">
        <v>195000</v>
      </c>
      <c r="E7" s="2">
        <v>75</v>
      </c>
      <c r="F7" s="2">
        <v>10853000</v>
      </c>
      <c r="G7" s="1">
        <v>4.7</v>
      </c>
      <c r="H7" s="2">
        <v>9</v>
      </c>
      <c r="I7" s="1" t="s">
        <v>18</v>
      </c>
      <c r="J7" t="str">
        <f t="shared" si="0"/>
        <v>Khác</v>
      </c>
      <c r="K7" t="str">
        <f t="shared" si="1"/>
        <v>Mẫu hợp lệ</v>
      </c>
      <c r="L7">
        <f t="shared" si="2"/>
        <v>14625000</v>
      </c>
      <c r="M7" s="4">
        <f t="shared" si="3"/>
        <v>25.79</v>
      </c>
    </row>
    <row r="8" spans="1:13" x14ac:dyDescent="0.3">
      <c r="A8" s="2">
        <v>91595</v>
      </c>
      <c r="B8" s="1" t="s">
        <v>19</v>
      </c>
      <c r="C8" s="2">
        <v>59000</v>
      </c>
      <c r="D8" s="2">
        <v>75000</v>
      </c>
      <c r="E8" s="2">
        <v>100</v>
      </c>
      <c r="F8" s="2">
        <v>5880000</v>
      </c>
      <c r="G8" s="1">
        <v>4.9000000000000004</v>
      </c>
      <c r="H8" s="2">
        <v>27</v>
      </c>
      <c r="I8" s="1" t="s">
        <v>20</v>
      </c>
      <c r="J8" t="str">
        <f t="shared" si="0"/>
        <v>Tẩy tế bào chết</v>
      </c>
      <c r="K8" t="str">
        <f t="shared" si="1"/>
        <v>Mẫu hợp lệ</v>
      </c>
      <c r="L8">
        <f t="shared" si="2"/>
        <v>7500000</v>
      </c>
      <c r="M8" s="4">
        <f t="shared" si="3"/>
        <v>21.6</v>
      </c>
    </row>
    <row r="9" spans="1:13" x14ac:dyDescent="0.3">
      <c r="A9" s="2">
        <v>91747</v>
      </c>
      <c r="B9" s="1" t="s">
        <v>21</v>
      </c>
      <c r="C9" s="2">
        <v>195000</v>
      </c>
      <c r="D9" s="2">
        <v>299000</v>
      </c>
      <c r="E9" s="2">
        <v>455</v>
      </c>
      <c r="F9" s="2">
        <v>88552000</v>
      </c>
      <c r="G9" s="1">
        <v>5</v>
      </c>
      <c r="H9" s="2">
        <v>57</v>
      </c>
      <c r="I9" s="1" t="s">
        <v>22</v>
      </c>
      <c r="J9" t="str">
        <f t="shared" si="0"/>
        <v>Tẩy tế bào chết</v>
      </c>
      <c r="K9" t="str">
        <f t="shared" si="1"/>
        <v>Mẫu hợp lệ</v>
      </c>
      <c r="L9">
        <f t="shared" si="2"/>
        <v>136045000</v>
      </c>
      <c r="M9" s="4">
        <f t="shared" si="3"/>
        <v>34.909999999999997</v>
      </c>
    </row>
    <row r="10" spans="1:13" x14ac:dyDescent="0.3">
      <c r="A10" s="2">
        <v>92215</v>
      </c>
      <c r="B10" s="1" t="s">
        <v>23</v>
      </c>
      <c r="C10" s="2">
        <v>117000</v>
      </c>
      <c r="D10" s="2">
        <v>172000</v>
      </c>
      <c r="E10" s="2">
        <v>330</v>
      </c>
      <c r="F10" s="2">
        <v>38573000</v>
      </c>
      <c r="G10" s="1">
        <v>4.9000000000000004</v>
      </c>
      <c r="H10" s="2">
        <v>29</v>
      </c>
      <c r="I10" s="1" t="s">
        <v>24</v>
      </c>
      <c r="J10" t="str">
        <f t="shared" si="0"/>
        <v>Tẩy tế bào chết</v>
      </c>
      <c r="K10" t="str">
        <f t="shared" si="1"/>
        <v>Mẫu hợp lệ</v>
      </c>
      <c r="L10">
        <f t="shared" si="2"/>
        <v>56760000</v>
      </c>
      <c r="M10" s="4">
        <f t="shared" si="3"/>
        <v>32.04</v>
      </c>
    </row>
    <row r="11" spans="1:13" x14ac:dyDescent="0.3">
      <c r="A11" s="2">
        <v>92253</v>
      </c>
      <c r="B11" s="1" t="s">
        <v>25</v>
      </c>
      <c r="C11" s="2">
        <v>143000</v>
      </c>
      <c r="D11" s="2">
        <v>290000</v>
      </c>
      <c r="E11" s="2">
        <v>143</v>
      </c>
      <c r="F11" s="2">
        <v>20318000</v>
      </c>
      <c r="G11" s="1">
        <v>4.9000000000000004</v>
      </c>
      <c r="H11" s="2">
        <v>29</v>
      </c>
      <c r="I11" s="1" t="s">
        <v>26</v>
      </c>
      <c r="J11" t="str">
        <f t="shared" si="0"/>
        <v>Combo/Set</v>
      </c>
      <c r="K11" t="str">
        <f t="shared" si="1"/>
        <v>Mẫu hợp lệ</v>
      </c>
      <c r="L11">
        <f t="shared" si="2"/>
        <v>41470000</v>
      </c>
      <c r="M11" s="4">
        <f t="shared" si="3"/>
        <v>51.01</v>
      </c>
    </row>
    <row r="12" spans="1:13" x14ac:dyDescent="0.3">
      <c r="A12" s="2">
        <v>93917</v>
      </c>
      <c r="B12" s="1" t="s">
        <v>27</v>
      </c>
      <c r="C12" s="2">
        <v>163000</v>
      </c>
      <c r="D12" s="2">
        <v>195000</v>
      </c>
      <c r="E12" s="2">
        <v>7</v>
      </c>
      <c r="F12" s="2">
        <v>1050000</v>
      </c>
      <c r="G12" s="1">
        <v>5</v>
      </c>
      <c r="H12" s="2">
        <v>2</v>
      </c>
      <c r="I12" s="1" t="s">
        <v>28</v>
      </c>
      <c r="J12" t="str">
        <f t="shared" si="0"/>
        <v>Làm sạch mặt</v>
      </c>
      <c r="K12" t="str">
        <f t="shared" si="1"/>
        <v xml:space="preserve">Mẫu nhỏ </v>
      </c>
      <c r="L12">
        <f t="shared" si="2"/>
        <v>1365000</v>
      </c>
      <c r="M12" s="4">
        <f t="shared" si="3"/>
        <v>23.08</v>
      </c>
    </row>
    <row r="13" spans="1:13" x14ac:dyDescent="0.3">
      <c r="A13" s="2">
        <v>94089</v>
      </c>
      <c r="B13" s="1" t="s">
        <v>29</v>
      </c>
      <c r="C13" s="2">
        <v>230000</v>
      </c>
      <c r="D13" s="2">
        <v>265000</v>
      </c>
      <c r="E13" s="2">
        <v>6</v>
      </c>
      <c r="F13" s="2">
        <v>1344000</v>
      </c>
      <c r="G13" s="1">
        <v>4.3</v>
      </c>
      <c r="H13" s="2">
        <v>4</v>
      </c>
      <c r="I13" s="1" t="s">
        <v>30</v>
      </c>
      <c r="J13" t="str">
        <f t="shared" si="0"/>
        <v>Khác</v>
      </c>
      <c r="K13" t="str">
        <f t="shared" si="1"/>
        <v xml:space="preserve">Mẫu nhỏ </v>
      </c>
      <c r="L13">
        <f t="shared" si="2"/>
        <v>1590000</v>
      </c>
      <c r="M13" s="4">
        <f t="shared" si="3"/>
        <v>15.47</v>
      </c>
    </row>
    <row r="14" spans="1:13" x14ac:dyDescent="0.3">
      <c r="A14" s="2">
        <v>94275</v>
      </c>
      <c r="B14" s="1" t="s">
        <v>31</v>
      </c>
      <c r="C14" s="2">
        <v>144000</v>
      </c>
      <c r="D14" s="2">
        <v>195000</v>
      </c>
      <c r="E14" s="2">
        <v>14</v>
      </c>
      <c r="F14" s="2">
        <v>2015000</v>
      </c>
      <c r="G14" s="1">
        <v>4.5999999999999996</v>
      </c>
      <c r="H14" s="2">
        <v>5</v>
      </c>
      <c r="I14" s="1" t="s">
        <v>32</v>
      </c>
      <c r="J14" t="str">
        <f t="shared" si="0"/>
        <v>Khác</v>
      </c>
      <c r="K14" t="str">
        <f t="shared" si="1"/>
        <v>Mẫu hợp lệ</v>
      </c>
      <c r="L14">
        <f t="shared" si="2"/>
        <v>2730000</v>
      </c>
      <c r="M14" s="4">
        <f t="shared" si="3"/>
        <v>26.19</v>
      </c>
    </row>
    <row r="15" spans="1:13" x14ac:dyDescent="0.3">
      <c r="A15" s="2">
        <v>94277</v>
      </c>
      <c r="B15" s="1" t="s">
        <v>33</v>
      </c>
      <c r="C15" s="2">
        <v>163000</v>
      </c>
      <c r="D15" s="2">
        <v>195000</v>
      </c>
      <c r="E15" s="2">
        <v>29</v>
      </c>
      <c r="F15" s="2">
        <v>4646000</v>
      </c>
      <c r="G15" s="1">
        <v>4.9000000000000004</v>
      </c>
      <c r="H15" s="2">
        <v>8</v>
      </c>
      <c r="I15" s="1" t="s">
        <v>34</v>
      </c>
      <c r="J15" t="str">
        <f t="shared" si="0"/>
        <v>Làm sạch mặt</v>
      </c>
      <c r="K15" t="str">
        <f t="shared" si="1"/>
        <v>Mẫu hợp lệ</v>
      </c>
      <c r="L15">
        <f t="shared" si="2"/>
        <v>5655000</v>
      </c>
      <c r="M15" s="4">
        <f t="shared" si="3"/>
        <v>17.84</v>
      </c>
    </row>
    <row r="16" spans="1:13" x14ac:dyDescent="0.3">
      <c r="A16" s="2">
        <v>94767</v>
      </c>
      <c r="B16" s="1" t="s">
        <v>35</v>
      </c>
      <c r="C16" s="2">
        <v>110000</v>
      </c>
      <c r="D16" s="2">
        <v>152000</v>
      </c>
      <c r="E16" s="2">
        <v>260</v>
      </c>
      <c r="F16" s="2">
        <v>28516000</v>
      </c>
      <c r="G16" s="1">
        <v>4.9000000000000004</v>
      </c>
      <c r="H16" s="2">
        <v>35</v>
      </c>
      <c r="I16" s="1" t="s">
        <v>36</v>
      </c>
      <c r="J16" t="str">
        <f t="shared" si="0"/>
        <v>Khác</v>
      </c>
      <c r="K16" t="str">
        <f t="shared" si="1"/>
        <v>Mẫu hợp lệ</v>
      </c>
      <c r="L16">
        <f t="shared" si="2"/>
        <v>39520000</v>
      </c>
      <c r="M16" s="4">
        <f t="shared" si="3"/>
        <v>27.84</v>
      </c>
    </row>
    <row r="17" spans="1:13" x14ac:dyDescent="0.3">
      <c r="A17" s="2">
        <v>94769</v>
      </c>
      <c r="B17" s="1" t="s">
        <v>37</v>
      </c>
      <c r="C17" s="2">
        <v>257000</v>
      </c>
      <c r="D17" s="2">
        <v>325000</v>
      </c>
      <c r="E17" s="2">
        <v>9</v>
      </c>
      <c r="F17" s="2">
        <v>2106000</v>
      </c>
      <c r="G17" s="1">
        <v>4.5999999999999996</v>
      </c>
      <c r="H17" s="2">
        <v>8</v>
      </c>
      <c r="I17" s="1" t="s">
        <v>38</v>
      </c>
      <c r="J17" t="str">
        <f t="shared" si="0"/>
        <v>Khác</v>
      </c>
      <c r="K17" t="str">
        <f t="shared" si="1"/>
        <v>Mẫu hợp lệ</v>
      </c>
      <c r="L17">
        <f t="shared" si="2"/>
        <v>2925000</v>
      </c>
      <c r="M17" s="4">
        <f t="shared" si="3"/>
        <v>28</v>
      </c>
    </row>
    <row r="18" spans="1:13" x14ac:dyDescent="0.3">
      <c r="A18" s="2">
        <v>95751</v>
      </c>
      <c r="B18" s="1" t="s">
        <v>39</v>
      </c>
      <c r="C18" s="2">
        <v>184000</v>
      </c>
      <c r="D18" s="2">
        <v>299000</v>
      </c>
      <c r="E18" s="2">
        <v>144</v>
      </c>
      <c r="F18" s="2">
        <v>26350000</v>
      </c>
      <c r="G18" s="1">
        <v>4.9000000000000004</v>
      </c>
      <c r="H18" s="2">
        <v>12</v>
      </c>
      <c r="I18" s="1" t="s">
        <v>40</v>
      </c>
      <c r="J18" t="str">
        <f t="shared" si="0"/>
        <v>Làm sạch mặt</v>
      </c>
      <c r="K18" t="str">
        <f t="shared" si="1"/>
        <v>Mẫu hợp lệ</v>
      </c>
      <c r="L18">
        <f t="shared" si="2"/>
        <v>43056000</v>
      </c>
      <c r="M18" s="4">
        <f t="shared" si="3"/>
        <v>38.799999999999997</v>
      </c>
    </row>
    <row r="19" spans="1:13" x14ac:dyDescent="0.3">
      <c r="A19" s="2">
        <v>95753</v>
      </c>
      <c r="B19" s="1" t="s">
        <v>41</v>
      </c>
      <c r="C19" s="2">
        <v>224000</v>
      </c>
      <c r="D19" s="2">
        <v>299000</v>
      </c>
      <c r="E19" s="2">
        <v>49</v>
      </c>
      <c r="F19" s="2">
        <v>10967000</v>
      </c>
      <c r="G19" s="1">
        <v>4.9000000000000004</v>
      </c>
      <c r="H19" s="2">
        <v>11</v>
      </c>
      <c r="I19" s="1" t="s">
        <v>42</v>
      </c>
      <c r="J19" t="str">
        <f t="shared" si="0"/>
        <v>Khác</v>
      </c>
      <c r="K19" t="str">
        <f t="shared" si="1"/>
        <v>Mẫu hợp lệ</v>
      </c>
      <c r="L19">
        <f t="shared" si="2"/>
        <v>14651000</v>
      </c>
      <c r="M19" s="4">
        <f t="shared" si="3"/>
        <v>25.15</v>
      </c>
    </row>
    <row r="20" spans="1:13" x14ac:dyDescent="0.3">
      <c r="A20" s="2">
        <v>96269</v>
      </c>
      <c r="B20" s="1" t="s">
        <v>43</v>
      </c>
      <c r="C20" s="2">
        <v>250000</v>
      </c>
      <c r="D20" s="2">
        <v>345000</v>
      </c>
      <c r="E20" s="2">
        <v>33</v>
      </c>
      <c r="F20" s="2">
        <v>8212000</v>
      </c>
      <c r="G20" s="1">
        <v>4.9000000000000004</v>
      </c>
      <c r="H20" s="2">
        <v>35</v>
      </c>
      <c r="I20" s="1" t="s">
        <v>44</v>
      </c>
      <c r="J20" t="str">
        <f t="shared" si="0"/>
        <v>Khác</v>
      </c>
      <c r="K20" t="str">
        <f t="shared" si="1"/>
        <v>Mẫu hợp lệ</v>
      </c>
      <c r="L20">
        <f t="shared" si="2"/>
        <v>11385000</v>
      </c>
      <c r="M20" s="4">
        <f t="shared" si="3"/>
        <v>27.87</v>
      </c>
    </row>
    <row r="21" spans="1:13" x14ac:dyDescent="0.3">
      <c r="A21" s="2">
        <v>96273</v>
      </c>
      <c r="B21" s="1" t="s">
        <v>45</v>
      </c>
      <c r="C21" s="2">
        <v>99000</v>
      </c>
      <c r="D21" s="2">
        <v>145000</v>
      </c>
      <c r="E21" s="2">
        <v>73</v>
      </c>
      <c r="F21" s="2">
        <v>7161000</v>
      </c>
      <c r="G21" s="1">
        <v>5</v>
      </c>
      <c r="H21" s="2">
        <v>57</v>
      </c>
      <c r="I21" s="1" t="s">
        <v>46</v>
      </c>
      <c r="J21" t="str">
        <f t="shared" si="0"/>
        <v>Tẩy tế bào chết</v>
      </c>
      <c r="K21" t="str">
        <f t="shared" si="1"/>
        <v>Mẫu hợp lệ</v>
      </c>
      <c r="L21">
        <f t="shared" si="2"/>
        <v>10585000</v>
      </c>
      <c r="M21" s="4">
        <f t="shared" si="3"/>
        <v>32.35</v>
      </c>
    </row>
    <row r="22" spans="1:13" x14ac:dyDescent="0.3">
      <c r="A22" s="2">
        <v>96589</v>
      </c>
      <c r="B22" s="1" t="s">
        <v>47</v>
      </c>
      <c r="C22" s="2">
        <v>243000</v>
      </c>
      <c r="D22" s="2">
        <v>590000</v>
      </c>
      <c r="E22" s="2">
        <v>1570</v>
      </c>
      <c r="F22" s="2">
        <v>381276000</v>
      </c>
      <c r="G22" s="1">
        <v>5</v>
      </c>
      <c r="H22" s="2">
        <v>57</v>
      </c>
      <c r="I22" s="1" t="s">
        <v>48</v>
      </c>
      <c r="J22" t="str">
        <f t="shared" si="0"/>
        <v>Combo/Set</v>
      </c>
      <c r="K22" t="str">
        <f t="shared" si="1"/>
        <v>Mẫu hợp lệ</v>
      </c>
      <c r="L22">
        <f t="shared" si="2"/>
        <v>926300000</v>
      </c>
      <c r="M22" s="4">
        <f t="shared" si="3"/>
        <v>58.84</v>
      </c>
    </row>
    <row r="23" spans="1:13" x14ac:dyDescent="0.3">
      <c r="A23" s="2">
        <v>96811</v>
      </c>
      <c r="B23" s="1" t="s">
        <v>49</v>
      </c>
      <c r="C23" s="2">
        <v>209000</v>
      </c>
      <c r="D23" s="2">
        <v>299000</v>
      </c>
      <c r="E23" s="2">
        <v>80</v>
      </c>
      <c r="F23" s="2">
        <v>16650000</v>
      </c>
      <c r="G23" s="1">
        <v>4.8</v>
      </c>
      <c r="H23" s="2">
        <v>18</v>
      </c>
      <c r="I23" s="1" t="s">
        <v>50</v>
      </c>
      <c r="J23" t="str">
        <f t="shared" si="0"/>
        <v>Khác</v>
      </c>
      <c r="K23" t="str">
        <f t="shared" si="1"/>
        <v>Mẫu hợp lệ</v>
      </c>
      <c r="L23">
        <f t="shared" si="2"/>
        <v>23920000</v>
      </c>
      <c r="M23" s="4">
        <f t="shared" si="3"/>
        <v>30.39</v>
      </c>
    </row>
    <row r="24" spans="1:13" x14ac:dyDescent="0.3">
      <c r="A24" s="2">
        <v>97357</v>
      </c>
      <c r="B24" s="1" t="s">
        <v>51</v>
      </c>
      <c r="C24" s="2">
        <v>149000</v>
      </c>
      <c r="D24" s="2">
        <v>195000</v>
      </c>
      <c r="E24" s="2">
        <v>42</v>
      </c>
      <c r="F24" s="2">
        <v>6177000</v>
      </c>
      <c r="G24" s="1">
        <v>4.7</v>
      </c>
      <c r="H24" s="2">
        <v>6</v>
      </c>
      <c r="I24" s="1" t="s">
        <v>52</v>
      </c>
      <c r="J24" t="str">
        <f t="shared" si="0"/>
        <v>Khác</v>
      </c>
      <c r="K24" t="str">
        <f t="shared" si="1"/>
        <v>Mẫu hợp lệ</v>
      </c>
      <c r="L24">
        <f t="shared" si="2"/>
        <v>8190000</v>
      </c>
      <c r="M24" s="4">
        <f t="shared" si="3"/>
        <v>24.58</v>
      </c>
    </row>
    <row r="25" spans="1:13" x14ac:dyDescent="0.3">
      <c r="A25" s="2">
        <v>97359</v>
      </c>
      <c r="B25" s="1" t="s">
        <v>53</v>
      </c>
      <c r="C25" s="2">
        <v>180000</v>
      </c>
      <c r="D25" s="2">
        <v>265000</v>
      </c>
      <c r="E25" s="2">
        <v>118</v>
      </c>
      <c r="F25" s="2">
        <v>21155000</v>
      </c>
      <c r="G25" s="1">
        <v>4.8</v>
      </c>
      <c r="H25" s="2">
        <v>26</v>
      </c>
      <c r="I25" s="1" t="s">
        <v>54</v>
      </c>
      <c r="J25" t="str">
        <f t="shared" si="0"/>
        <v>Khác</v>
      </c>
      <c r="K25" t="str">
        <f t="shared" si="1"/>
        <v>Mẫu hợp lệ</v>
      </c>
      <c r="L25">
        <f t="shared" si="2"/>
        <v>31270000</v>
      </c>
      <c r="M25" s="4">
        <f t="shared" si="3"/>
        <v>32.35</v>
      </c>
    </row>
    <row r="26" spans="1:13" x14ac:dyDescent="0.3">
      <c r="A26" s="2">
        <v>97505</v>
      </c>
      <c r="B26" s="1" t="s">
        <v>55</v>
      </c>
      <c r="C26" s="2">
        <v>347000</v>
      </c>
      <c r="D26" s="2">
        <v>430000</v>
      </c>
      <c r="E26" s="2">
        <v>21</v>
      </c>
      <c r="F26" s="2">
        <v>7202000</v>
      </c>
      <c r="G26" s="1">
        <v>4.8</v>
      </c>
      <c r="H26" s="2">
        <v>26</v>
      </c>
      <c r="I26" s="1" t="s">
        <v>56</v>
      </c>
      <c r="J26" t="str">
        <f t="shared" si="0"/>
        <v>Khác</v>
      </c>
      <c r="K26" t="str">
        <f t="shared" si="1"/>
        <v>Mẫu hợp lệ</v>
      </c>
      <c r="L26">
        <f t="shared" si="2"/>
        <v>9030000</v>
      </c>
      <c r="M26" s="4">
        <f t="shared" si="3"/>
        <v>20.239999999999998</v>
      </c>
    </row>
    <row r="27" spans="1:13" x14ac:dyDescent="0.3">
      <c r="A27" s="2">
        <v>97567</v>
      </c>
      <c r="B27" s="1" t="s">
        <v>57</v>
      </c>
      <c r="C27" s="2">
        <v>133000</v>
      </c>
      <c r="D27" s="2">
        <v>250000</v>
      </c>
      <c r="E27" s="2">
        <v>243</v>
      </c>
      <c r="F27" s="2">
        <v>32218000</v>
      </c>
      <c r="G27" s="1">
        <v>5</v>
      </c>
      <c r="H27" s="2">
        <v>131</v>
      </c>
      <c r="I27" s="1" t="s">
        <v>58</v>
      </c>
      <c r="J27" t="str">
        <f t="shared" si="0"/>
        <v>Combo/Set</v>
      </c>
      <c r="K27" t="str">
        <f t="shared" si="1"/>
        <v>Mẫu hợp lệ</v>
      </c>
      <c r="L27">
        <f t="shared" si="2"/>
        <v>60750000</v>
      </c>
      <c r="M27" s="4">
        <f t="shared" si="3"/>
        <v>46.97</v>
      </c>
    </row>
    <row r="28" spans="1:13" x14ac:dyDescent="0.3">
      <c r="A28" s="2">
        <v>98121</v>
      </c>
      <c r="B28" s="1" t="s">
        <v>59</v>
      </c>
      <c r="C28" s="2">
        <v>155000</v>
      </c>
      <c r="D28" s="2">
        <v>195000</v>
      </c>
      <c r="E28" s="2">
        <v>47</v>
      </c>
      <c r="F28" s="2">
        <v>7189000</v>
      </c>
      <c r="G28" s="1">
        <v>4.7</v>
      </c>
      <c r="H28" s="2">
        <v>11</v>
      </c>
      <c r="I28" s="1" t="s">
        <v>60</v>
      </c>
      <c r="J28" t="str">
        <f t="shared" si="0"/>
        <v>Khác</v>
      </c>
      <c r="K28" t="str">
        <f t="shared" si="1"/>
        <v>Mẫu hợp lệ</v>
      </c>
      <c r="L28">
        <f t="shared" si="2"/>
        <v>9165000</v>
      </c>
      <c r="M28" s="4">
        <f t="shared" si="3"/>
        <v>21.56</v>
      </c>
    </row>
    <row r="29" spans="1:13" x14ac:dyDescent="0.3">
      <c r="A29" s="2">
        <v>98573</v>
      </c>
      <c r="B29" s="1" t="s">
        <v>61</v>
      </c>
      <c r="C29" s="2">
        <v>169000</v>
      </c>
      <c r="D29" s="2">
        <v>215000</v>
      </c>
      <c r="E29" s="2">
        <v>14</v>
      </c>
      <c r="F29" s="2">
        <v>2331000</v>
      </c>
      <c r="G29" s="1">
        <v>5</v>
      </c>
      <c r="H29" s="2">
        <v>2</v>
      </c>
      <c r="I29" s="1" t="s">
        <v>62</v>
      </c>
      <c r="J29" t="str">
        <f t="shared" si="0"/>
        <v>Toner/Xịt khoáng</v>
      </c>
      <c r="K29" t="str">
        <f t="shared" si="1"/>
        <v xml:space="preserve">Mẫu nhỏ </v>
      </c>
      <c r="L29">
        <f t="shared" si="2"/>
        <v>3010000</v>
      </c>
      <c r="M29" s="4">
        <f t="shared" si="3"/>
        <v>22.56</v>
      </c>
    </row>
    <row r="30" spans="1:13" x14ac:dyDescent="0.3">
      <c r="A30" s="2">
        <v>99505</v>
      </c>
      <c r="B30" s="1" t="s">
        <v>63</v>
      </c>
      <c r="C30" s="2">
        <v>225000</v>
      </c>
      <c r="D30" s="2">
        <v>339000</v>
      </c>
      <c r="E30" s="2">
        <v>26</v>
      </c>
      <c r="F30" s="2">
        <v>5850000</v>
      </c>
      <c r="G30" s="1">
        <v>5</v>
      </c>
      <c r="H30" s="2">
        <v>131</v>
      </c>
      <c r="I30" s="1" t="s">
        <v>64</v>
      </c>
      <c r="J30" t="str">
        <f t="shared" si="0"/>
        <v>Tẩy tế bào chết</v>
      </c>
      <c r="K30" t="str">
        <f t="shared" si="1"/>
        <v>Mẫu hợp lệ</v>
      </c>
      <c r="L30">
        <f t="shared" si="2"/>
        <v>8814000</v>
      </c>
      <c r="M30" s="4">
        <f t="shared" si="3"/>
        <v>33.630000000000003</v>
      </c>
    </row>
    <row r="31" spans="1:13" x14ac:dyDescent="0.3">
      <c r="A31" s="2">
        <v>100109</v>
      </c>
      <c r="B31" s="1" t="s">
        <v>65</v>
      </c>
      <c r="C31" s="2">
        <v>139000</v>
      </c>
      <c r="D31" s="2">
        <v>165000</v>
      </c>
      <c r="E31" s="2">
        <v>10</v>
      </c>
      <c r="F31" s="2">
        <v>1344000</v>
      </c>
      <c r="G31" s="1">
        <v>4.8</v>
      </c>
      <c r="H31" s="2">
        <v>5</v>
      </c>
      <c r="I31" s="1" t="s">
        <v>66</v>
      </c>
      <c r="J31" t="str">
        <f t="shared" si="0"/>
        <v>Tẩy tế bào chết</v>
      </c>
      <c r="K31" t="str">
        <f t="shared" si="1"/>
        <v>Mẫu hợp lệ</v>
      </c>
      <c r="L31">
        <f t="shared" si="2"/>
        <v>1650000</v>
      </c>
      <c r="M31" s="4">
        <f t="shared" si="3"/>
        <v>18.55</v>
      </c>
    </row>
    <row r="32" spans="1:13" x14ac:dyDescent="0.3">
      <c r="A32" s="2">
        <v>100391</v>
      </c>
      <c r="B32" s="1" t="s">
        <v>67</v>
      </c>
      <c r="C32" s="2">
        <v>143000</v>
      </c>
      <c r="D32" s="2">
        <v>195000</v>
      </c>
      <c r="E32" s="2">
        <v>38</v>
      </c>
      <c r="F32" s="2">
        <v>5421000</v>
      </c>
      <c r="G32" s="1">
        <v>4.9000000000000004</v>
      </c>
      <c r="H32" s="2">
        <v>12</v>
      </c>
      <c r="I32" s="1" t="s">
        <v>68</v>
      </c>
      <c r="J32" t="str">
        <f t="shared" si="0"/>
        <v>Làm sạch mặt</v>
      </c>
      <c r="K32" t="str">
        <f t="shared" si="1"/>
        <v>Mẫu hợp lệ</v>
      </c>
      <c r="L32">
        <f t="shared" si="2"/>
        <v>7410000</v>
      </c>
      <c r="M32" s="4">
        <f t="shared" si="3"/>
        <v>26.84</v>
      </c>
    </row>
    <row r="33" spans="1:13" x14ac:dyDescent="0.3">
      <c r="A33" s="2">
        <v>100393</v>
      </c>
      <c r="B33" s="1" t="s">
        <v>69</v>
      </c>
      <c r="C33" s="2">
        <v>145000</v>
      </c>
      <c r="D33" s="2">
        <v>195000</v>
      </c>
      <c r="E33" s="2">
        <v>17</v>
      </c>
      <c r="F33" s="2">
        <v>2384000</v>
      </c>
      <c r="G33" s="1">
        <v>4.9000000000000004</v>
      </c>
      <c r="H33" s="2">
        <v>11</v>
      </c>
      <c r="I33" s="1" t="s">
        <v>70</v>
      </c>
      <c r="J33" t="str">
        <f t="shared" si="0"/>
        <v>Khác</v>
      </c>
      <c r="K33" t="str">
        <f t="shared" si="1"/>
        <v>Mẫu hợp lệ</v>
      </c>
      <c r="L33">
        <f t="shared" si="2"/>
        <v>3315000</v>
      </c>
      <c r="M33" s="4">
        <f t="shared" si="3"/>
        <v>28.08</v>
      </c>
    </row>
    <row r="34" spans="1:13" x14ac:dyDescent="0.3">
      <c r="A34" s="2">
        <v>100835</v>
      </c>
      <c r="B34" s="1" t="s">
        <v>71</v>
      </c>
      <c r="C34" s="2">
        <v>120000</v>
      </c>
      <c r="D34" s="2">
        <v>145000</v>
      </c>
      <c r="E34" s="2">
        <v>6</v>
      </c>
      <c r="F34" s="2">
        <v>609000</v>
      </c>
      <c r="G34" s="1">
        <v>4.3</v>
      </c>
      <c r="H34" s="2">
        <v>3</v>
      </c>
      <c r="I34" s="1" t="s">
        <v>72</v>
      </c>
      <c r="J34" t="str">
        <f t="shared" si="0"/>
        <v>Chăm sóc tóc</v>
      </c>
      <c r="K34" t="str">
        <f t="shared" si="1"/>
        <v xml:space="preserve">Mẫu nhỏ </v>
      </c>
      <c r="L34">
        <f t="shared" si="2"/>
        <v>870000</v>
      </c>
      <c r="M34" s="4">
        <f t="shared" si="3"/>
        <v>30</v>
      </c>
    </row>
    <row r="35" spans="1:13" x14ac:dyDescent="0.3">
      <c r="A35" s="2">
        <v>101111</v>
      </c>
      <c r="B35" s="1" t="s">
        <v>73</v>
      </c>
      <c r="C35" s="2">
        <v>213000</v>
      </c>
      <c r="D35" s="2">
        <v>250000</v>
      </c>
      <c r="E35" s="2">
        <v>8</v>
      </c>
      <c r="F35" s="2">
        <v>1521000</v>
      </c>
      <c r="G35" s="1">
        <v>5</v>
      </c>
      <c r="H35" s="2">
        <v>57</v>
      </c>
      <c r="I35" s="1" t="s">
        <v>74</v>
      </c>
      <c r="J35" t="str">
        <f t="shared" si="0"/>
        <v>Combo/Set</v>
      </c>
      <c r="K35" t="str">
        <f t="shared" si="1"/>
        <v>Mẫu hợp lệ</v>
      </c>
      <c r="L35">
        <f t="shared" si="2"/>
        <v>2000000</v>
      </c>
      <c r="M35" s="4">
        <f t="shared" si="3"/>
        <v>23.95</v>
      </c>
    </row>
    <row r="36" spans="1:13" x14ac:dyDescent="0.3">
      <c r="A36" s="2">
        <v>101467</v>
      </c>
      <c r="B36" s="1" t="s">
        <v>75</v>
      </c>
      <c r="C36" s="2">
        <v>392000</v>
      </c>
      <c r="D36" s="2">
        <v>490000</v>
      </c>
      <c r="E36" s="2">
        <v>2</v>
      </c>
      <c r="F36" s="2">
        <v>784000</v>
      </c>
      <c r="G36" s="1">
        <v>5</v>
      </c>
      <c r="H36" s="2">
        <v>121</v>
      </c>
      <c r="I36" s="1" t="s">
        <v>76</v>
      </c>
      <c r="J36" t="str">
        <f t="shared" si="0"/>
        <v>Combo/Set</v>
      </c>
      <c r="K36" t="str">
        <f t="shared" si="1"/>
        <v>Mẫu hợp lệ</v>
      </c>
      <c r="L36">
        <f t="shared" si="2"/>
        <v>980000</v>
      </c>
      <c r="M36" s="4">
        <f t="shared" si="3"/>
        <v>20</v>
      </c>
    </row>
    <row r="37" spans="1:13" x14ac:dyDescent="0.3">
      <c r="A37" s="2">
        <v>101935</v>
      </c>
      <c r="B37" s="1" t="s">
        <v>77</v>
      </c>
      <c r="C37" s="2">
        <v>212000</v>
      </c>
      <c r="D37" s="2">
        <v>299000</v>
      </c>
      <c r="E37" s="2">
        <v>83</v>
      </c>
      <c r="F37" s="2">
        <v>17562000</v>
      </c>
      <c r="G37" s="1">
        <v>4.9000000000000004</v>
      </c>
      <c r="H37" s="2">
        <v>8</v>
      </c>
      <c r="I37" s="1" t="s">
        <v>78</v>
      </c>
      <c r="J37" t="str">
        <f t="shared" si="0"/>
        <v>Làm sạch mặt</v>
      </c>
      <c r="K37" t="str">
        <f t="shared" si="1"/>
        <v>Mẫu hợp lệ</v>
      </c>
      <c r="L37">
        <f t="shared" si="2"/>
        <v>24817000</v>
      </c>
      <c r="M37" s="4">
        <f t="shared" si="3"/>
        <v>29.23</v>
      </c>
    </row>
    <row r="38" spans="1:13" x14ac:dyDescent="0.3">
      <c r="A38" s="2">
        <v>102383</v>
      </c>
      <c r="B38" s="1" t="s">
        <v>79</v>
      </c>
      <c r="C38" s="2">
        <v>349000</v>
      </c>
      <c r="D38" s="2">
        <v>465000</v>
      </c>
      <c r="E38" s="2">
        <v>22</v>
      </c>
      <c r="F38" s="2">
        <v>7351000</v>
      </c>
      <c r="G38" s="1">
        <v>4.8</v>
      </c>
      <c r="H38" s="2">
        <v>16</v>
      </c>
      <c r="I38" s="1" t="s">
        <v>80</v>
      </c>
      <c r="J38" t="str">
        <f t="shared" si="0"/>
        <v>Khác</v>
      </c>
      <c r="K38" t="str">
        <f t="shared" si="1"/>
        <v>Mẫu hợp lệ</v>
      </c>
      <c r="L38">
        <f t="shared" si="2"/>
        <v>10230000</v>
      </c>
      <c r="M38" s="4">
        <f t="shared" si="3"/>
        <v>28.14</v>
      </c>
    </row>
    <row r="39" spans="1:13" x14ac:dyDescent="0.3">
      <c r="A39" s="2">
        <v>103451</v>
      </c>
      <c r="B39" s="1" t="s">
        <v>81</v>
      </c>
      <c r="C39" s="2">
        <v>131000</v>
      </c>
      <c r="D39" s="2">
        <v>290000</v>
      </c>
      <c r="E39" s="2">
        <v>498</v>
      </c>
      <c r="F39" s="2">
        <v>65170000</v>
      </c>
      <c r="G39" s="1">
        <v>5</v>
      </c>
      <c r="H39" s="2">
        <v>53</v>
      </c>
      <c r="I39" s="1" t="s">
        <v>82</v>
      </c>
      <c r="J39" t="str">
        <f t="shared" si="0"/>
        <v>Combo/Set</v>
      </c>
      <c r="K39" t="str">
        <f t="shared" si="1"/>
        <v>Mẫu hợp lệ</v>
      </c>
      <c r="L39">
        <f t="shared" si="2"/>
        <v>144420000</v>
      </c>
      <c r="M39" s="4">
        <f t="shared" si="3"/>
        <v>54.87</v>
      </c>
    </row>
    <row r="40" spans="1:13" x14ac:dyDescent="0.3">
      <c r="A40" s="2">
        <v>103627</v>
      </c>
      <c r="B40" s="1" t="s">
        <v>83</v>
      </c>
      <c r="C40" s="2">
        <v>162000</v>
      </c>
      <c r="D40" s="2">
        <v>330000</v>
      </c>
      <c r="E40" s="2">
        <v>95</v>
      </c>
      <c r="F40" s="2">
        <v>15269000</v>
      </c>
      <c r="G40" s="1">
        <v>4.8</v>
      </c>
      <c r="H40" s="2">
        <v>5</v>
      </c>
      <c r="I40" s="1" t="s">
        <v>84</v>
      </c>
      <c r="J40" t="str">
        <f t="shared" si="0"/>
        <v>Combo/Set</v>
      </c>
      <c r="K40" t="str">
        <f t="shared" si="1"/>
        <v>Mẫu hợp lệ</v>
      </c>
      <c r="L40">
        <f t="shared" si="2"/>
        <v>31350000</v>
      </c>
      <c r="M40" s="4">
        <f t="shared" si="3"/>
        <v>51.3</v>
      </c>
    </row>
    <row r="41" spans="1:13" x14ac:dyDescent="0.3">
      <c r="A41" s="2">
        <v>103629</v>
      </c>
      <c r="B41" s="1" t="s">
        <v>85</v>
      </c>
      <c r="C41" s="2">
        <v>45000</v>
      </c>
      <c r="D41" s="2">
        <v>64000</v>
      </c>
      <c r="E41" s="2">
        <v>68</v>
      </c>
      <c r="F41" s="2">
        <v>3024000</v>
      </c>
      <c r="G41" s="1">
        <v>4.9000000000000004</v>
      </c>
      <c r="H41" s="2">
        <v>63</v>
      </c>
      <c r="I41" s="1" t="s">
        <v>86</v>
      </c>
      <c r="J41" t="str">
        <f t="shared" si="0"/>
        <v>Combo/Set</v>
      </c>
      <c r="K41" t="str">
        <f t="shared" si="1"/>
        <v>Mẫu hợp lệ</v>
      </c>
      <c r="L41">
        <f t="shared" si="2"/>
        <v>4352000</v>
      </c>
      <c r="M41" s="4">
        <f t="shared" si="3"/>
        <v>30.51</v>
      </c>
    </row>
    <row r="42" spans="1:13" x14ac:dyDescent="0.3">
      <c r="A42" s="2">
        <v>103871</v>
      </c>
      <c r="B42" s="1" t="s">
        <v>87</v>
      </c>
      <c r="C42" s="2">
        <v>277000</v>
      </c>
      <c r="D42" s="2">
        <v>395000</v>
      </c>
      <c r="E42" s="2">
        <v>35</v>
      </c>
      <c r="F42" s="2">
        <v>9476000</v>
      </c>
      <c r="G42" s="1">
        <v>4.8</v>
      </c>
      <c r="H42" s="2">
        <v>12</v>
      </c>
      <c r="I42" s="1" t="s">
        <v>88</v>
      </c>
      <c r="J42" t="str">
        <f t="shared" si="0"/>
        <v>Khác</v>
      </c>
      <c r="K42" t="str">
        <f t="shared" si="1"/>
        <v>Mẫu hợp lệ</v>
      </c>
      <c r="L42">
        <f t="shared" si="2"/>
        <v>13825000</v>
      </c>
      <c r="M42" s="4">
        <f t="shared" si="3"/>
        <v>31.46</v>
      </c>
    </row>
    <row r="43" spans="1:13" x14ac:dyDescent="0.3">
      <c r="A43" s="2">
        <v>104359</v>
      </c>
      <c r="B43" s="1" t="s">
        <v>89</v>
      </c>
      <c r="C43" s="2">
        <v>131000</v>
      </c>
      <c r="D43" s="2">
        <v>290000</v>
      </c>
      <c r="E43" s="2">
        <v>571</v>
      </c>
      <c r="F43" s="2">
        <v>74703000</v>
      </c>
      <c r="G43" s="1">
        <v>4.9000000000000004</v>
      </c>
      <c r="H43" s="2">
        <v>35</v>
      </c>
      <c r="I43" s="1" t="s">
        <v>90</v>
      </c>
      <c r="J43" t="str">
        <f t="shared" si="0"/>
        <v>Combo/Set</v>
      </c>
      <c r="K43" t="str">
        <f t="shared" si="1"/>
        <v>Mẫu hợp lệ</v>
      </c>
      <c r="L43">
        <f t="shared" si="2"/>
        <v>165590000</v>
      </c>
      <c r="M43" s="4">
        <f t="shared" si="3"/>
        <v>54.89</v>
      </c>
    </row>
    <row r="44" spans="1:13" x14ac:dyDescent="0.3">
      <c r="A44" s="2">
        <v>104361</v>
      </c>
      <c r="B44" s="1" t="s">
        <v>91</v>
      </c>
      <c r="C44" s="2">
        <v>365000</v>
      </c>
      <c r="D44" s="2">
        <v>430000</v>
      </c>
      <c r="E44" s="2">
        <v>16</v>
      </c>
      <c r="F44" s="2">
        <v>5617000</v>
      </c>
      <c r="G44" s="1">
        <v>5</v>
      </c>
      <c r="H44" s="2">
        <v>2</v>
      </c>
      <c r="I44" s="1" t="s">
        <v>92</v>
      </c>
      <c r="J44" t="str">
        <f t="shared" si="0"/>
        <v>Combo/Set</v>
      </c>
      <c r="K44" t="str">
        <f t="shared" si="1"/>
        <v xml:space="preserve">Mẫu nhỏ </v>
      </c>
      <c r="L44">
        <f t="shared" si="2"/>
        <v>6880000</v>
      </c>
      <c r="M44" s="4">
        <f t="shared" si="3"/>
        <v>18.36</v>
      </c>
    </row>
    <row r="45" spans="1:13" x14ac:dyDescent="0.3">
      <c r="A45" s="2">
        <v>105189</v>
      </c>
      <c r="B45" s="1" t="s">
        <v>93</v>
      </c>
      <c r="C45" s="2">
        <v>312000</v>
      </c>
      <c r="D45" s="2">
        <v>390000</v>
      </c>
      <c r="E45" s="2">
        <v>3</v>
      </c>
      <c r="F45" s="2">
        <v>768000</v>
      </c>
      <c r="G45" s="1">
        <v>5</v>
      </c>
      <c r="H45" s="2">
        <v>2</v>
      </c>
      <c r="I45" s="1" t="s">
        <v>94</v>
      </c>
      <c r="J45" t="str">
        <f t="shared" si="0"/>
        <v>Combo/Set</v>
      </c>
      <c r="K45" t="str">
        <f t="shared" si="1"/>
        <v xml:space="preserve">Mẫu nhỏ </v>
      </c>
      <c r="L45">
        <f t="shared" si="2"/>
        <v>1170000</v>
      </c>
      <c r="M45" s="4">
        <f t="shared" si="3"/>
        <v>34.36</v>
      </c>
    </row>
    <row r="46" spans="1:13" x14ac:dyDescent="0.3">
      <c r="A46" s="2">
        <v>105519</v>
      </c>
      <c r="B46" s="1" t="s">
        <v>95</v>
      </c>
      <c r="C46" s="2">
        <v>112000</v>
      </c>
      <c r="D46" s="2">
        <v>165000</v>
      </c>
      <c r="E46" s="2">
        <v>122</v>
      </c>
      <c r="F46" s="2">
        <v>13563000</v>
      </c>
      <c r="G46" s="1">
        <v>4.7</v>
      </c>
      <c r="H46" s="2">
        <v>35</v>
      </c>
      <c r="I46" s="1" t="s">
        <v>96</v>
      </c>
      <c r="J46" t="str">
        <f t="shared" si="0"/>
        <v>Chăm sóc tóc</v>
      </c>
      <c r="K46" t="str">
        <f t="shared" si="1"/>
        <v>Mẫu hợp lệ</v>
      </c>
      <c r="L46">
        <f t="shared" si="2"/>
        <v>20130000</v>
      </c>
      <c r="M46" s="4">
        <f t="shared" si="3"/>
        <v>32.619999999999997</v>
      </c>
    </row>
    <row r="47" spans="1:13" x14ac:dyDescent="0.3">
      <c r="A47" s="2">
        <v>105873</v>
      </c>
      <c r="B47" s="1" t="s">
        <v>97</v>
      </c>
      <c r="C47" s="2">
        <v>138000</v>
      </c>
      <c r="D47" s="2">
        <v>330000</v>
      </c>
      <c r="E47" s="2">
        <v>706</v>
      </c>
      <c r="F47" s="2">
        <v>97292000</v>
      </c>
      <c r="G47" s="1">
        <v>4.7</v>
      </c>
      <c r="H47" s="2">
        <v>35</v>
      </c>
      <c r="I47" s="1" t="s">
        <v>98</v>
      </c>
      <c r="J47" t="str">
        <f t="shared" si="0"/>
        <v>Combo/Set</v>
      </c>
      <c r="K47" t="str">
        <f t="shared" si="1"/>
        <v>Mẫu hợp lệ</v>
      </c>
      <c r="L47">
        <f t="shared" si="2"/>
        <v>232980000</v>
      </c>
      <c r="M47" s="4">
        <f t="shared" si="3"/>
        <v>58.24</v>
      </c>
    </row>
    <row r="48" spans="1:13" x14ac:dyDescent="0.3">
      <c r="A48" s="2">
        <v>106535</v>
      </c>
      <c r="B48" s="1" t="s">
        <v>99</v>
      </c>
      <c r="C48" s="2">
        <v>248000</v>
      </c>
      <c r="D48" s="2">
        <v>310000</v>
      </c>
      <c r="E48" s="2">
        <v>1</v>
      </c>
      <c r="F48" s="2">
        <v>248000</v>
      </c>
      <c r="G48" s="1">
        <v>5</v>
      </c>
      <c r="H48" s="2">
        <v>7</v>
      </c>
      <c r="I48" s="1" t="s">
        <v>100</v>
      </c>
      <c r="J48" t="str">
        <f t="shared" si="0"/>
        <v>Combo/Set</v>
      </c>
      <c r="K48" t="str">
        <f t="shared" si="1"/>
        <v>Mẫu hợp lệ</v>
      </c>
      <c r="L48">
        <f t="shared" si="2"/>
        <v>310000</v>
      </c>
      <c r="M48" s="4">
        <f t="shared" si="3"/>
        <v>20</v>
      </c>
    </row>
    <row r="49" spans="1:13" x14ac:dyDescent="0.3">
      <c r="A49" s="2">
        <v>107251</v>
      </c>
      <c r="B49" s="1" t="s">
        <v>101</v>
      </c>
      <c r="C49" s="2">
        <v>158000</v>
      </c>
      <c r="D49" s="2">
        <v>215000</v>
      </c>
      <c r="E49" s="2">
        <v>23</v>
      </c>
      <c r="F49" s="2">
        <v>3549000</v>
      </c>
      <c r="G49" s="1">
        <v>4</v>
      </c>
      <c r="H49" s="2">
        <v>1</v>
      </c>
      <c r="I49" s="1" t="s">
        <v>102</v>
      </c>
      <c r="J49" t="str">
        <f t="shared" si="0"/>
        <v>Chăm sóc tóc</v>
      </c>
      <c r="K49" t="str">
        <f t="shared" si="1"/>
        <v xml:space="preserve">Mẫu nhỏ </v>
      </c>
      <c r="L49">
        <f t="shared" si="2"/>
        <v>4945000</v>
      </c>
      <c r="M49" s="4">
        <f t="shared" si="3"/>
        <v>28.23</v>
      </c>
    </row>
    <row r="50" spans="1:13" x14ac:dyDescent="0.3">
      <c r="A50" s="2">
        <v>107483</v>
      </c>
      <c r="B50" s="1" t="s">
        <v>103</v>
      </c>
      <c r="C50" s="2">
        <v>228000</v>
      </c>
      <c r="D50" s="2">
        <v>410000</v>
      </c>
      <c r="E50" s="2">
        <v>24</v>
      </c>
      <c r="F50" s="2">
        <v>5365000</v>
      </c>
      <c r="G50" s="1">
        <v>4.8</v>
      </c>
      <c r="H50" s="2">
        <v>5</v>
      </c>
      <c r="I50" s="1" t="s">
        <v>104</v>
      </c>
      <c r="J50" t="str">
        <f t="shared" si="0"/>
        <v>Combo/Set</v>
      </c>
      <c r="K50" t="str">
        <f t="shared" si="1"/>
        <v>Mẫu hợp lệ</v>
      </c>
      <c r="L50">
        <f t="shared" si="2"/>
        <v>9840000</v>
      </c>
      <c r="M50" s="4">
        <f t="shared" si="3"/>
        <v>45.48</v>
      </c>
    </row>
    <row r="51" spans="1:13" x14ac:dyDescent="0.3">
      <c r="A51" s="2">
        <v>107840</v>
      </c>
      <c r="B51" s="1" t="s">
        <v>105</v>
      </c>
      <c r="C51" s="2">
        <v>259000</v>
      </c>
      <c r="D51" s="2">
        <v>325000</v>
      </c>
      <c r="E51" s="2">
        <v>15</v>
      </c>
      <c r="F51" s="2">
        <v>3754000</v>
      </c>
      <c r="G51" s="1">
        <v>4.7</v>
      </c>
      <c r="H51" s="2">
        <v>35</v>
      </c>
      <c r="I51" s="1" t="s">
        <v>106</v>
      </c>
      <c r="J51" t="str">
        <f t="shared" si="0"/>
        <v>Chăm sóc tóc</v>
      </c>
      <c r="K51" t="str">
        <f t="shared" si="1"/>
        <v>Mẫu hợp lệ</v>
      </c>
      <c r="L51">
        <f t="shared" si="2"/>
        <v>4875000</v>
      </c>
      <c r="M51" s="4">
        <f t="shared" si="3"/>
        <v>22.99</v>
      </c>
    </row>
    <row r="52" spans="1:13" x14ac:dyDescent="0.3">
      <c r="A52" s="2">
        <v>107934</v>
      </c>
      <c r="B52" s="1" t="s">
        <v>107</v>
      </c>
      <c r="C52" s="2">
        <v>242000</v>
      </c>
      <c r="D52" s="2">
        <v>590000</v>
      </c>
      <c r="E52" s="2">
        <v>1069</v>
      </c>
      <c r="F52" s="2">
        <v>258690000</v>
      </c>
      <c r="G52" s="1">
        <v>5</v>
      </c>
      <c r="H52" s="2">
        <v>7</v>
      </c>
      <c r="I52" s="1" t="s">
        <v>108</v>
      </c>
      <c r="J52" t="str">
        <f t="shared" si="0"/>
        <v>Combo/Set</v>
      </c>
      <c r="K52" t="str">
        <f t="shared" si="1"/>
        <v>Mẫu hợp lệ</v>
      </c>
      <c r="L52">
        <f t="shared" si="2"/>
        <v>630710000</v>
      </c>
      <c r="M52" s="4">
        <f t="shared" si="3"/>
        <v>58.98</v>
      </c>
    </row>
    <row r="53" spans="1:13" x14ac:dyDescent="0.3">
      <c r="A53" s="2">
        <v>109272</v>
      </c>
      <c r="B53" s="1" t="s">
        <v>109</v>
      </c>
      <c r="C53" s="2">
        <v>501000</v>
      </c>
      <c r="D53" s="2">
        <v>590000</v>
      </c>
      <c r="E53" s="2">
        <v>6</v>
      </c>
      <c r="F53" s="2">
        <v>2589000</v>
      </c>
      <c r="G53" s="1">
        <v>4.8</v>
      </c>
      <c r="H53" s="2">
        <v>18</v>
      </c>
      <c r="I53" s="1" t="s">
        <v>110</v>
      </c>
      <c r="J53" t="str">
        <f t="shared" si="0"/>
        <v>Combo/Set</v>
      </c>
      <c r="K53" t="str">
        <f t="shared" si="1"/>
        <v>Mẫu hợp lệ</v>
      </c>
      <c r="L53">
        <f t="shared" si="2"/>
        <v>3540000</v>
      </c>
      <c r="M53" s="4">
        <f t="shared" si="3"/>
        <v>26.86</v>
      </c>
    </row>
    <row r="54" spans="1:13" x14ac:dyDescent="0.3">
      <c r="A54" s="2">
        <v>110442</v>
      </c>
      <c r="B54" s="1" t="s">
        <v>111</v>
      </c>
      <c r="C54" s="2">
        <v>295000</v>
      </c>
      <c r="D54" s="2">
        <v>570000</v>
      </c>
      <c r="E54" s="2">
        <v>16</v>
      </c>
      <c r="F54" s="2">
        <v>4480000</v>
      </c>
      <c r="G54" s="1">
        <v>4.8</v>
      </c>
      <c r="H54" s="2">
        <v>5</v>
      </c>
      <c r="I54" s="1" t="s">
        <v>112</v>
      </c>
      <c r="J54" t="str">
        <f t="shared" si="0"/>
        <v>Combo/Set</v>
      </c>
      <c r="K54" t="str">
        <f t="shared" si="1"/>
        <v>Mẫu hợp lệ</v>
      </c>
      <c r="L54">
        <f t="shared" si="2"/>
        <v>9120000</v>
      </c>
      <c r="M54" s="4">
        <f t="shared" si="3"/>
        <v>50.88</v>
      </c>
    </row>
    <row r="55" spans="1:13" x14ac:dyDescent="0.3">
      <c r="A55" s="2">
        <v>110648</v>
      </c>
      <c r="B55" s="1" t="s">
        <v>113</v>
      </c>
      <c r="C55" s="2">
        <v>378000</v>
      </c>
      <c r="D55" s="2">
        <v>790000</v>
      </c>
      <c r="E55" s="2">
        <v>185</v>
      </c>
      <c r="F55" s="2">
        <v>69629000</v>
      </c>
      <c r="G55" s="1">
        <v>4.8</v>
      </c>
      <c r="H55" s="2">
        <v>12</v>
      </c>
      <c r="I55" s="1" t="s">
        <v>114</v>
      </c>
      <c r="J55" t="str">
        <f t="shared" si="0"/>
        <v>Combo/Set</v>
      </c>
      <c r="K55" t="str">
        <f t="shared" si="1"/>
        <v>Mẫu hợp lệ</v>
      </c>
      <c r="L55">
        <f t="shared" si="2"/>
        <v>146150000</v>
      </c>
      <c r="M55" s="4">
        <f t="shared" si="3"/>
        <v>52.36</v>
      </c>
    </row>
    <row r="56" spans="1:13" x14ac:dyDescent="0.3">
      <c r="A56" s="2">
        <v>112793</v>
      </c>
      <c r="B56" s="1" t="s">
        <v>115</v>
      </c>
      <c r="C56" s="2">
        <v>265000</v>
      </c>
      <c r="D56" s="2">
        <v>395000</v>
      </c>
      <c r="E56" s="2">
        <v>103</v>
      </c>
      <c r="F56" s="2">
        <v>27252000</v>
      </c>
      <c r="G56" s="1">
        <v>4.8</v>
      </c>
      <c r="H56" s="2">
        <v>26</v>
      </c>
      <c r="I56" s="1" t="s">
        <v>116</v>
      </c>
      <c r="J56" t="str">
        <f t="shared" si="0"/>
        <v>Khác</v>
      </c>
      <c r="K56" t="str">
        <f t="shared" si="1"/>
        <v>Mẫu hợp lệ</v>
      </c>
      <c r="L56">
        <f t="shared" si="2"/>
        <v>40685000</v>
      </c>
      <c r="M56" s="4">
        <f t="shared" si="3"/>
        <v>33.020000000000003</v>
      </c>
    </row>
    <row r="57" spans="1:13" x14ac:dyDescent="0.3">
      <c r="A57" s="2">
        <v>113217</v>
      </c>
      <c r="B57" s="1" t="s">
        <v>117</v>
      </c>
      <c r="C57" s="2">
        <v>321000</v>
      </c>
      <c r="D57" s="2">
        <v>560000</v>
      </c>
      <c r="E57" s="2">
        <v>807</v>
      </c>
      <c r="F57" s="2">
        <v>258970000</v>
      </c>
      <c r="G57" s="1">
        <v>4.8</v>
      </c>
      <c r="H57" s="2">
        <v>26</v>
      </c>
      <c r="I57" s="1" t="s">
        <v>118</v>
      </c>
      <c r="J57" t="str">
        <f t="shared" si="0"/>
        <v>Khác</v>
      </c>
      <c r="K57" t="str">
        <f t="shared" si="1"/>
        <v>Mẫu hợp lệ</v>
      </c>
      <c r="L57">
        <f t="shared" si="2"/>
        <v>451920000</v>
      </c>
      <c r="M57" s="4">
        <f t="shared" si="3"/>
        <v>42.7</v>
      </c>
    </row>
    <row r="58" spans="1:13" x14ac:dyDescent="0.3">
      <c r="A58" s="2">
        <v>113453</v>
      </c>
      <c r="B58" s="1" t="s">
        <v>119</v>
      </c>
      <c r="C58" s="2">
        <v>302000</v>
      </c>
      <c r="D58" s="2">
        <v>439000</v>
      </c>
      <c r="E58" s="2">
        <v>29</v>
      </c>
      <c r="F58" s="2">
        <v>8652000</v>
      </c>
      <c r="G58" s="1">
        <v>4.8</v>
      </c>
      <c r="H58" s="2">
        <v>21</v>
      </c>
      <c r="I58" s="1" t="s">
        <v>120</v>
      </c>
      <c r="J58" t="str">
        <f t="shared" si="0"/>
        <v>Khác</v>
      </c>
      <c r="K58" t="str">
        <f t="shared" si="1"/>
        <v>Mẫu hợp lệ</v>
      </c>
      <c r="L58">
        <f t="shared" si="2"/>
        <v>12731000</v>
      </c>
      <c r="M58" s="4">
        <f t="shared" si="3"/>
        <v>32.04</v>
      </c>
    </row>
    <row r="59" spans="1:13" x14ac:dyDescent="0.3">
      <c r="A59" s="2">
        <v>114325</v>
      </c>
      <c r="B59" s="1" t="s">
        <v>121</v>
      </c>
      <c r="C59" s="2">
        <v>261000</v>
      </c>
      <c r="D59" s="2">
        <v>590000</v>
      </c>
      <c r="E59" s="2">
        <v>16</v>
      </c>
      <c r="F59" s="2">
        <v>4160000</v>
      </c>
      <c r="G59" s="1">
        <v>5</v>
      </c>
      <c r="H59" s="2">
        <v>1</v>
      </c>
      <c r="I59" s="1" t="s">
        <v>122</v>
      </c>
      <c r="J59" t="str">
        <f t="shared" si="0"/>
        <v>Combo/Set</v>
      </c>
      <c r="K59" t="str">
        <f t="shared" si="1"/>
        <v xml:space="preserve">Mẫu nhỏ </v>
      </c>
      <c r="L59">
        <f t="shared" si="2"/>
        <v>9440000</v>
      </c>
      <c r="M59" s="4">
        <f t="shared" si="3"/>
        <v>55.93</v>
      </c>
    </row>
    <row r="60" spans="1:13" x14ac:dyDescent="0.3">
      <c r="A60" s="2">
        <v>114573</v>
      </c>
      <c r="B60" s="1" t="s">
        <v>123</v>
      </c>
      <c r="C60" s="2">
        <v>616000</v>
      </c>
      <c r="D60" s="2">
        <v>725000</v>
      </c>
      <c r="E60" s="2">
        <v>20</v>
      </c>
      <c r="F60" s="2">
        <v>12320000</v>
      </c>
      <c r="G60" s="1">
        <v>5</v>
      </c>
      <c r="H60" s="2">
        <v>1</v>
      </c>
      <c r="I60" s="1" t="s">
        <v>124</v>
      </c>
      <c r="J60" t="str">
        <f t="shared" si="0"/>
        <v>Chăm sóc tóc</v>
      </c>
      <c r="K60" t="str">
        <f t="shared" si="1"/>
        <v xml:space="preserve">Mẫu nhỏ </v>
      </c>
      <c r="L60">
        <f t="shared" si="2"/>
        <v>14500000</v>
      </c>
      <c r="M60" s="4">
        <f t="shared" si="3"/>
        <v>15.03</v>
      </c>
    </row>
    <row r="61" spans="1:13" x14ac:dyDescent="0.3">
      <c r="A61" s="2">
        <v>116851</v>
      </c>
      <c r="B61" s="1" t="s">
        <v>125</v>
      </c>
      <c r="C61" s="2">
        <v>332000</v>
      </c>
      <c r="D61" s="2">
        <v>650000</v>
      </c>
      <c r="E61" s="2">
        <v>35</v>
      </c>
      <c r="F61" s="2">
        <v>11576000</v>
      </c>
      <c r="G61" s="1">
        <v>5</v>
      </c>
      <c r="H61" s="2">
        <v>131</v>
      </c>
      <c r="I61" s="1" t="s">
        <v>126</v>
      </c>
      <c r="J61" t="str">
        <f t="shared" si="0"/>
        <v>Combo/Set</v>
      </c>
      <c r="K61" t="str">
        <f t="shared" si="1"/>
        <v>Mẫu hợp lệ</v>
      </c>
      <c r="L61">
        <f t="shared" si="2"/>
        <v>22750000</v>
      </c>
      <c r="M61" s="4">
        <f t="shared" si="3"/>
        <v>49.12</v>
      </c>
    </row>
    <row r="62" spans="1:13" x14ac:dyDescent="0.3">
      <c r="A62" s="2">
        <v>116853</v>
      </c>
      <c r="B62" s="1" t="s">
        <v>127</v>
      </c>
      <c r="C62" s="2">
        <v>244000</v>
      </c>
      <c r="D62" s="2">
        <v>590000</v>
      </c>
      <c r="E62" s="2">
        <v>115</v>
      </c>
      <c r="F62" s="2">
        <v>28020000</v>
      </c>
      <c r="G62" s="1">
        <v>4.9000000000000004</v>
      </c>
      <c r="H62" s="2">
        <v>12</v>
      </c>
      <c r="I62" s="1" t="s">
        <v>128</v>
      </c>
      <c r="J62" t="str">
        <f t="shared" si="0"/>
        <v>Combo/Set</v>
      </c>
      <c r="K62" t="str">
        <f t="shared" si="1"/>
        <v>Mẫu hợp lệ</v>
      </c>
      <c r="L62">
        <f t="shared" si="2"/>
        <v>67850000</v>
      </c>
      <c r="M62" s="4">
        <f t="shared" si="3"/>
        <v>58.7</v>
      </c>
    </row>
    <row r="63" spans="1:13" x14ac:dyDescent="0.3">
      <c r="A63" s="2">
        <v>118552</v>
      </c>
      <c r="B63" s="1" t="s">
        <v>129</v>
      </c>
      <c r="C63" s="2">
        <v>257000</v>
      </c>
      <c r="D63" s="2">
        <v>375000</v>
      </c>
      <c r="E63" s="2">
        <v>17</v>
      </c>
      <c r="F63" s="2">
        <v>4134000</v>
      </c>
      <c r="G63" s="1">
        <v>4.8</v>
      </c>
      <c r="H63" s="2">
        <v>26</v>
      </c>
      <c r="I63" s="1" t="s">
        <v>130</v>
      </c>
      <c r="J63" t="str">
        <f t="shared" si="0"/>
        <v>Khác</v>
      </c>
      <c r="K63" t="str">
        <f t="shared" si="1"/>
        <v>Mẫu hợp lệ</v>
      </c>
      <c r="L63">
        <f t="shared" si="2"/>
        <v>6375000</v>
      </c>
      <c r="M63" s="4">
        <f t="shared" si="3"/>
        <v>35.15</v>
      </c>
    </row>
    <row r="64" spans="1:13" x14ac:dyDescent="0.3">
      <c r="A64" s="2">
        <v>123736</v>
      </c>
      <c r="B64" s="1" t="s">
        <v>131</v>
      </c>
      <c r="C64" s="2">
        <v>112000</v>
      </c>
      <c r="D64" s="2">
        <v>195000</v>
      </c>
      <c r="E64" s="2">
        <v>65</v>
      </c>
      <c r="F64" s="2">
        <v>7260000</v>
      </c>
      <c r="G64" s="1">
        <v>5</v>
      </c>
      <c r="H64" s="2">
        <v>10</v>
      </c>
      <c r="I64" s="1" t="s">
        <v>132</v>
      </c>
      <c r="J64" t="str">
        <f t="shared" si="0"/>
        <v>Khác</v>
      </c>
      <c r="K64" t="str">
        <f t="shared" si="1"/>
        <v>Mẫu hợp lệ</v>
      </c>
      <c r="L64">
        <f t="shared" si="2"/>
        <v>12675000</v>
      </c>
      <c r="M64" s="4">
        <f t="shared" si="3"/>
        <v>42.72</v>
      </c>
    </row>
    <row r="65" spans="1:13" x14ac:dyDescent="0.3">
      <c r="A65" s="2">
        <v>123740</v>
      </c>
      <c r="B65" s="1" t="s">
        <v>133</v>
      </c>
      <c r="C65" s="2">
        <v>198000</v>
      </c>
      <c r="D65" s="2">
        <v>299000</v>
      </c>
      <c r="E65" s="2">
        <v>144</v>
      </c>
      <c r="F65" s="2">
        <v>28417000</v>
      </c>
      <c r="G65" s="1">
        <v>5</v>
      </c>
      <c r="H65" s="2">
        <v>10</v>
      </c>
      <c r="I65" s="1" t="s">
        <v>134</v>
      </c>
      <c r="J65" t="str">
        <f t="shared" si="0"/>
        <v>Khác</v>
      </c>
      <c r="K65" t="str">
        <f t="shared" si="1"/>
        <v>Mẫu hợp lệ</v>
      </c>
      <c r="L65">
        <f t="shared" si="2"/>
        <v>43056000</v>
      </c>
      <c r="M65" s="4">
        <f t="shared" si="3"/>
        <v>34</v>
      </c>
    </row>
    <row r="66" spans="1:13" x14ac:dyDescent="0.3">
      <c r="A66" s="2">
        <v>124092</v>
      </c>
      <c r="B66" s="1" t="s">
        <v>135</v>
      </c>
      <c r="C66" s="2">
        <v>340000</v>
      </c>
      <c r="D66" s="2">
        <v>340000</v>
      </c>
      <c r="E66" s="2">
        <v>4</v>
      </c>
      <c r="F66" s="2">
        <v>1344000</v>
      </c>
      <c r="G66" s="1">
        <v>4.9000000000000004</v>
      </c>
      <c r="H66" s="2">
        <v>13</v>
      </c>
      <c r="I66" s="1" t="s">
        <v>136</v>
      </c>
      <c r="J66" t="str">
        <f t="shared" si="0"/>
        <v>Combo/Set</v>
      </c>
      <c r="K66" t="str">
        <f t="shared" si="1"/>
        <v>Mẫu hợp lệ</v>
      </c>
      <c r="L66">
        <f t="shared" si="2"/>
        <v>1360000</v>
      </c>
      <c r="M66" s="4">
        <f t="shared" si="3"/>
        <v>1.18</v>
      </c>
    </row>
    <row r="67" spans="1:13" x14ac:dyDescent="0.3">
      <c r="A67" s="2">
        <v>124096</v>
      </c>
      <c r="B67" s="1" t="s">
        <v>137</v>
      </c>
      <c r="C67" s="2">
        <v>229000</v>
      </c>
      <c r="D67" s="2">
        <v>590000</v>
      </c>
      <c r="E67" s="2">
        <v>1471</v>
      </c>
      <c r="F67" s="2">
        <v>336832000</v>
      </c>
      <c r="G67" s="1">
        <v>4.9000000000000004</v>
      </c>
      <c r="H67" s="2">
        <v>13</v>
      </c>
      <c r="I67" s="1" t="s">
        <v>138</v>
      </c>
      <c r="J67" t="str">
        <f t="shared" ref="J67:J85" si="4">IF(ISNUMBER(SEARCH("combo", B67)), "Combo/Set", IF(ISNUMBER(SEARCH("tẩy", B67)), "Tẩy tế bào chết", IF(ISNUMBER(SEARCH("rửa mặt", B67)), "Làm sạch mặt", IF(ISNUMBER(SEARCH("tóc", B67)), "Chăm sóc tóc", IF(ISNUMBER(SEARCH("xịt khoáng", B67)), "Toner/Xịt khoáng", "Khác")))))</f>
        <v>Combo/Set</v>
      </c>
      <c r="K67" t="str">
        <f t="shared" ref="K67:K85" si="5">IF(H67&lt;5, "Mẫu nhỏ ", "Mẫu hợp lệ")</f>
        <v>Mẫu hợp lệ</v>
      </c>
      <c r="L67">
        <f t="shared" ref="L67:L85" si="6" xml:space="preserve"> D67 * E67</f>
        <v>867890000</v>
      </c>
      <c r="M67" s="4">
        <f t="shared" ref="M67:M85" si="7" xml:space="preserve"> MAX(0, ROUND((1 - (F67 / L67)) * 100, 2))</f>
        <v>61.19</v>
      </c>
    </row>
    <row r="68" spans="1:13" x14ac:dyDescent="0.3">
      <c r="A68" s="2">
        <v>124732</v>
      </c>
      <c r="B68" s="1" t="s">
        <v>139</v>
      </c>
      <c r="C68" s="2">
        <v>389000</v>
      </c>
      <c r="D68" s="2">
        <v>878000</v>
      </c>
      <c r="E68" s="2">
        <v>158</v>
      </c>
      <c r="F68" s="2">
        <v>61427000</v>
      </c>
      <c r="G68" s="1">
        <v>4.8</v>
      </c>
      <c r="H68" s="2">
        <v>21</v>
      </c>
      <c r="I68" s="1" t="s">
        <v>140</v>
      </c>
      <c r="J68" t="str">
        <f t="shared" si="4"/>
        <v>Combo/Set</v>
      </c>
      <c r="K68" t="str">
        <f t="shared" si="5"/>
        <v>Mẫu hợp lệ</v>
      </c>
      <c r="L68">
        <f t="shared" si="6"/>
        <v>138724000</v>
      </c>
      <c r="M68" s="4">
        <f t="shared" si="7"/>
        <v>55.72</v>
      </c>
    </row>
    <row r="69" spans="1:13" x14ac:dyDescent="0.3">
      <c r="A69" s="2">
        <v>127324</v>
      </c>
      <c r="B69" s="1" t="s">
        <v>141</v>
      </c>
      <c r="C69" s="2">
        <v>392000</v>
      </c>
      <c r="D69" s="2">
        <v>490000</v>
      </c>
      <c r="E69" s="2">
        <v>1</v>
      </c>
      <c r="F69" s="2">
        <v>392000</v>
      </c>
      <c r="G69" s="1">
        <v>4.7</v>
      </c>
      <c r="H69" s="2">
        <v>35</v>
      </c>
      <c r="I69" s="1" t="s">
        <v>142</v>
      </c>
      <c r="J69" t="str">
        <f t="shared" si="4"/>
        <v>Combo/Set</v>
      </c>
      <c r="K69" t="str">
        <f t="shared" si="5"/>
        <v>Mẫu hợp lệ</v>
      </c>
      <c r="L69">
        <f t="shared" si="6"/>
        <v>490000</v>
      </c>
      <c r="M69" s="4">
        <f t="shared" si="7"/>
        <v>20</v>
      </c>
    </row>
    <row r="70" spans="1:13" x14ac:dyDescent="0.3">
      <c r="A70" s="2">
        <v>127508</v>
      </c>
      <c r="B70" s="1" t="s">
        <v>143</v>
      </c>
      <c r="C70" s="2">
        <v>528000</v>
      </c>
      <c r="D70" s="2">
        <v>660000</v>
      </c>
      <c r="E70" s="2">
        <v>1</v>
      </c>
      <c r="F70" s="2">
        <v>528000</v>
      </c>
      <c r="G70" s="1">
        <v>4.8</v>
      </c>
      <c r="H70" s="2">
        <v>26</v>
      </c>
      <c r="I70" s="1" t="s">
        <v>144</v>
      </c>
      <c r="J70" t="str">
        <f t="shared" si="4"/>
        <v>Combo/Set</v>
      </c>
      <c r="K70" t="str">
        <f t="shared" si="5"/>
        <v>Mẫu hợp lệ</v>
      </c>
      <c r="L70">
        <f t="shared" si="6"/>
        <v>660000</v>
      </c>
      <c r="M70" s="4">
        <f t="shared" si="7"/>
        <v>20</v>
      </c>
    </row>
    <row r="71" spans="1:13" x14ac:dyDescent="0.3">
      <c r="A71" s="2">
        <v>130276</v>
      </c>
      <c r="B71" s="1" t="s">
        <v>145</v>
      </c>
      <c r="C71" s="2">
        <v>552000</v>
      </c>
      <c r="D71" s="2">
        <v>650000</v>
      </c>
      <c r="E71" s="2">
        <v>6</v>
      </c>
      <c r="F71" s="2">
        <v>3029000</v>
      </c>
      <c r="G71" s="1">
        <v>4.7</v>
      </c>
      <c r="H71" s="2">
        <v>35</v>
      </c>
      <c r="I71" s="1" t="s">
        <v>146</v>
      </c>
      <c r="J71" t="str">
        <f t="shared" si="4"/>
        <v>Combo/Set</v>
      </c>
      <c r="K71" t="str">
        <f t="shared" si="5"/>
        <v>Mẫu hợp lệ</v>
      </c>
      <c r="L71">
        <f t="shared" si="6"/>
        <v>3900000</v>
      </c>
      <c r="M71" s="4">
        <f t="shared" si="7"/>
        <v>22.33</v>
      </c>
    </row>
    <row r="72" spans="1:13" x14ac:dyDescent="0.3">
      <c r="A72" s="2">
        <v>135269</v>
      </c>
      <c r="B72" s="1" t="s">
        <v>147</v>
      </c>
      <c r="C72" s="2">
        <v>248000</v>
      </c>
      <c r="D72" s="2">
        <v>345000</v>
      </c>
      <c r="E72" s="2">
        <v>42</v>
      </c>
      <c r="F72" s="2">
        <v>10340000</v>
      </c>
      <c r="G72" s="1">
        <v>4.9000000000000004</v>
      </c>
      <c r="H72" s="2">
        <v>14</v>
      </c>
      <c r="I72" s="1" t="s">
        <v>148</v>
      </c>
      <c r="J72" t="str">
        <f t="shared" si="4"/>
        <v>Tẩy tế bào chết</v>
      </c>
      <c r="K72" t="str">
        <f t="shared" si="5"/>
        <v>Mẫu hợp lệ</v>
      </c>
      <c r="L72">
        <f t="shared" si="6"/>
        <v>14490000</v>
      </c>
      <c r="M72" s="4">
        <f t="shared" si="7"/>
        <v>28.64</v>
      </c>
    </row>
    <row r="73" spans="1:13" x14ac:dyDescent="0.3">
      <c r="A73" s="2">
        <v>137395</v>
      </c>
      <c r="B73" s="1" t="s">
        <v>149</v>
      </c>
      <c r="C73" s="2">
        <v>135000</v>
      </c>
      <c r="D73" s="2">
        <v>270000</v>
      </c>
      <c r="E73" s="2">
        <v>282</v>
      </c>
      <c r="F73" s="2">
        <v>37960000</v>
      </c>
      <c r="G73" s="1">
        <v>5</v>
      </c>
      <c r="H73" s="2">
        <v>8</v>
      </c>
      <c r="I73" s="1" t="s">
        <v>150</v>
      </c>
      <c r="J73" t="str">
        <f t="shared" si="4"/>
        <v>Combo/Set</v>
      </c>
      <c r="K73" t="str">
        <f t="shared" si="5"/>
        <v>Mẫu hợp lệ</v>
      </c>
      <c r="L73">
        <f t="shared" si="6"/>
        <v>76140000</v>
      </c>
      <c r="M73" s="4">
        <f t="shared" si="7"/>
        <v>50.14</v>
      </c>
    </row>
    <row r="74" spans="1:13" x14ac:dyDescent="0.3">
      <c r="A74" s="2">
        <v>185748</v>
      </c>
      <c r="B74" s="1" t="s">
        <v>151</v>
      </c>
      <c r="C74" s="2">
        <v>145000</v>
      </c>
      <c r="D74" s="2">
        <v>185000</v>
      </c>
      <c r="E74" s="2">
        <v>31</v>
      </c>
      <c r="F74" s="2">
        <v>4440000</v>
      </c>
      <c r="G74" s="1">
        <v>5</v>
      </c>
      <c r="H74" s="2">
        <v>2</v>
      </c>
      <c r="I74" s="1" t="s">
        <v>152</v>
      </c>
      <c r="J74" t="str">
        <f t="shared" si="4"/>
        <v>Chăm sóc tóc</v>
      </c>
      <c r="K74" t="str">
        <f t="shared" si="5"/>
        <v xml:space="preserve">Mẫu nhỏ </v>
      </c>
      <c r="L74">
        <f t="shared" si="6"/>
        <v>5735000</v>
      </c>
      <c r="M74" s="4">
        <f t="shared" si="7"/>
        <v>22.58</v>
      </c>
    </row>
    <row r="75" spans="1:13" x14ac:dyDescent="0.3">
      <c r="A75" s="2">
        <v>195537</v>
      </c>
      <c r="B75" s="1" t="s">
        <v>153</v>
      </c>
      <c r="C75" s="2">
        <v>325000</v>
      </c>
      <c r="D75" s="2">
        <v>425000</v>
      </c>
      <c r="E75" s="2">
        <v>10</v>
      </c>
      <c r="F75" s="2">
        <v>3150000</v>
      </c>
      <c r="G75" s="1">
        <v>5</v>
      </c>
      <c r="H75" s="2">
        <v>10</v>
      </c>
      <c r="I75" s="1" t="s">
        <v>154</v>
      </c>
      <c r="J75" t="str">
        <f t="shared" si="4"/>
        <v>Khác</v>
      </c>
      <c r="K75" t="str">
        <f t="shared" si="5"/>
        <v>Mẫu hợp lệ</v>
      </c>
      <c r="L75">
        <f t="shared" si="6"/>
        <v>4250000</v>
      </c>
      <c r="M75" s="4">
        <f t="shared" si="7"/>
        <v>25.88</v>
      </c>
    </row>
    <row r="76" spans="1:13" x14ac:dyDescent="0.3">
      <c r="A76" s="2">
        <v>195817</v>
      </c>
      <c r="B76" s="1" t="s">
        <v>155</v>
      </c>
      <c r="C76" s="2">
        <v>156000</v>
      </c>
      <c r="D76" s="2">
        <v>241000</v>
      </c>
      <c r="E76" s="2">
        <v>28</v>
      </c>
      <c r="F76" s="2">
        <v>4293000</v>
      </c>
      <c r="G76" s="1">
        <v>5</v>
      </c>
      <c r="H76" s="2">
        <v>2</v>
      </c>
      <c r="I76" s="1" t="s">
        <v>156</v>
      </c>
      <c r="J76" t="str">
        <f t="shared" si="4"/>
        <v>Khác</v>
      </c>
      <c r="K76" t="str">
        <f t="shared" si="5"/>
        <v xml:space="preserve">Mẫu nhỏ </v>
      </c>
      <c r="L76">
        <f t="shared" si="6"/>
        <v>6748000</v>
      </c>
      <c r="M76" s="4">
        <f t="shared" si="7"/>
        <v>36.380000000000003</v>
      </c>
    </row>
    <row r="77" spans="1:13" x14ac:dyDescent="0.3">
      <c r="A77" s="2">
        <v>197365</v>
      </c>
      <c r="B77" s="1" t="s">
        <v>157</v>
      </c>
      <c r="C77" s="2">
        <v>229000</v>
      </c>
      <c r="D77" s="2">
        <v>590000</v>
      </c>
      <c r="E77" s="2">
        <v>69</v>
      </c>
      <c r="F77" s="2">
        <v>15743000</v>
      </c>
      <c r="G77" s="1">
        <v>5</v>
      </c>
      <c r="H77" s="2">
        <v>10</v>
      </c>
      <c r="I77" s="1" t="s">
        <v>158</v>
      </c>
      <c r="J77" t="str">
        <f t="shared" si="4"/>
        <v>Combo/Set</v>
      </c>
      <c r="K77" t="str">
        <f t="shared" si="5"/>
        <v>Mẫu hợp lệ</v>
      </c>
      <c r="L77">
        <f t="shared" si="6"/>
        <v>40710000</v>
      </c>
      <c r="M77" s="4">
        <f t="shared" si="7"/>
        <v>61.33</v>
      </c>
    </row>
    <row r="78" spans="1:13" x14ac:dyDescent="0.3">
      <c r="A78" s="2">
        <v>198747</v>
      </c>
      <c r="B78" s="1" t="s">
        <v>159</v>
      </c>
      <c r="C78" s="2">
        <v>172000</v>
      </c>
      <c r="D78" s="2">
        <v>290000</v>
      </c>
      <c r="E78" s="2">
        <v>26</v>
      </c>
      <c r="F78" s="2">
        <v>4392000</v>
      </c>
      <c r="G78" s="1">
        <v>4.9000000000000004</v>
      </c>
      <c r="H78" s="2">
        <v>36</v>
      </c>
      <c r="I78" s="1" t="s">
        <v>160</v>
      </c>
      <c r="J78" t="str">
        <f t="shared" si="4"/>
        <v>Combo/Set</v>
      </c>
      <c r="K78" t="str">
        <f t="shared" si="5"/>
        <v>Mẫu hợp lệ</v>
      </c>
      <c r="L78">
        <f t="shared" si="6"/>
        <v>7540000</v>
      </c>
      <c r="M78" s="4">
        <f t="shared" si="7"/>
        <v>41.75</v>
      </c>
    </row>
    <row r="79" spans="1:13" x14ac:dyDescent="0.3">
      <c r="A79" s="2">
        <v>200403</v>
      </c>
      <c r="B79" s="1" t="s">
        <v>161</v>
      </c>
      <c r="C79" s="2">
        <v>287000</v>
      </c>
      <c r="D79" s="2">
        <v>590000</v>
      </c>
      <c r="E79" s="2">
        <v>45</v>
      </c>
      <c r="F79" s="2">
        <v>12801000</v>
      </c>
      <c r="G79" s="1">
        <v>4.9000000000000004</v>
      </c>
      <c r="H79" s="2">
        <v>8</v>
      </c>
      <c r="I79" s="1" t="s">
        <v>162</v>
      </c>
      <c r="J79" t="str">
        <f t="shared" si="4"/>
        <v>Combo/Set</v>
      </c>
      <c r="K79" t="str">
        <f t="shared" si="5"/>
        <v>Mẫu hợp lệ</v>
      </c>
      <c r="L79">
        <f t="shared" si="6"/>
        <v>26550000</v>
      </c>
      <c r="M79" s="4">
        <f t="shared" si="7"/>
        <v>51.79</v>
      </c>
    </row>
    <row r="80" spans="1:13" x14ac:dyDescent="0.3">
      <c r="A80" s="2">
        <v>202943</v>
      </c>
      <c r="B80" s="1" t="s">
        <v>163</v>
      </c>
      <c r="C80" s="2">
        <v>180000</v>
      </c>
      <c r="D80" s="2">
        <v>380000</v>
      </c>
      <c r="E80" s="2">
        <v>93</v>
      </c>
      <c r="F80" s="2">
        <v>16618000</v>
      </c>
      <c r="G80" s="1">
        <v>5</v>
      </c>
      <c r="H80" s="2">
        <v>1</v>
      </c>
      <c r="I80" s="1" t="s">
        <v>164</v>
      </c>
      <c r="J80" t="str">
        <f t="shared" si="4"/>
        <v>Combo/Set</v>
      </c>
      <c r="K80" t="str">
        <f t="shared" si="5"/>
        <v xml:space="preserve">Mẫu nhỏ </v>
      </c>
      <c r="L80">
        <f t="shared" si="6"/>
        <v>35340000</v>
      </c>
      <c r="M80" s="4">
        <f t="shared" si="7"/>
        <v>52.98</v>
      </c>
    </row>
    <row r="81" spans="1:13" x14ac:dyDescent="0.3">
      <c r="A81" s="2">
        <v>242788</v>
      </c>
      <c r="B81" s="1" t="s">
        <v>165</v>
      </c>
      <c r="C81" s="2">
        <v>240000</v>
      </c>
      <c r="D81" s="2">
        <v>339000</v>
      </c>
      <c r="E81" s="2">
        <v>73</v>
      </c>
      <c r="F81" s="2">
        <v>17353000</v>
      </c>
      <c r="G81" s="1">
        <v>5</v>
      </c>
      <c r="H81" s="2">
        <v>6</v>
      </c>
      <c r="I81" s="1" t="s">
        <v>166</v>
      </c>
      <c r="J81" t="str">
        <f t="shared" si="4"/>
        <v>Làm sạch mặt</v>
      </c>
      <c r="K81" t="str">
        <f t="shared" si="5"/>
        <v>Mẫu hợp lệ</v>
      </c>
      <c r="L81">
        <f t="shared" si="6"/>
        <v>24747000</v>
      </c>
      <c r="M81" s="4">
        <f t="shared" si="7"/>
        <v>29.88</v>
      </c>
    </row>
    <row r="82" spans="1:13" x14ac:dyDescent="0.3">
      <c r="A82" s="2">
        <v>245252</v>
      </c>
      <c r="B82" s="1" t="s">
        <v>167</v>
      </c>
      <c r="C82" s="2">
        <v>224000</v>
      </c>
      <c r="D82" s="2">
        <v>390000</v>
      </c>
      <c r="E82" s="2">
        <v>39</v>
      </c>
      <c r="F82" s="2">
        <v>8630000</v>
      </c>
      <c r="G82" s="1">
        <v>4.7</v>
      </c>
      <c r="H82" s="2">
        <v>9</v>
      </c>
      <c r="I82" s="1" t="s">
        <v>168</v>
      </c>
      <c r="J82" t="str">
        <f t="shared" si="4"/>
        <v>Combo/Set</v>
      </c>
      <c r="K82" t="str">
        <f t="shared" si="5"/>
        <v>Mẫu hợp lệ</v>
      </c>
      <c r="L82">
        <f t="shared" si="6"/>
        <v>15210000</v>
      </c>
      <c r="M82" s="4">
        <f t="shared" si="7"/>
        <v>43.26</v>
      </c>
    </row>
    <row r="83" spans="1:13" x14ac:dyDescent="0.3">
      <c r="A83" s="2">
        <v>247923</v>
      </c>
      <c r="B83" s="1" t="s">
        <v>169</v>
      </c>
      <c r="C83" s="2">
        <v>294000</v>
      </c>
      <c r="D83" s="2">
        <v>650000</v>
      </c>
      <c r="E83" s="2">
        <v>5</v>
      </c>
      <c r="F83" s="2">
        <v>1436000</v>
      </c>
      <c r="G83" s="1">
        <v>4.5999999999999996</v>
      </c>
      <c r="H83" s="2">
        <v>8</v>
      </c>
      <c r="I83" s="1" t="s">
        <v>170</v>
      </c>
      <c r="J83" t="str">
        <f t="shared" si="4"/>
        <v>Combo/Set</v>
      </c>
      <c r="K83" t="str">
        <f t="shared" si="5"/>
        <v>Mẫu hợp lệ</v>
      </c>
      <c r="L83">
        <f t="shared" si="6"/>
        <v>3250000</v>
      </c>
      <c r="M83" s="4">
        <f t="shared" si="7"/>
        <v>55.82</v>
      </c>
    </row>
    <row r="84" spans="1:13" x14ac:dyDescent="0.3">
      <c r="A84" s="2">
        <v>247927</v>
      </c>
      <c r="B84" s="1" t="s">
        <v>171</v>
      </c>
      <c r="C84" s="2">
        <v>354000</v>
      </c>
      <c r="D84" s="2">
        <v>720000</v>
      </c>
      <c r="E84" s="2">
        <v>6</v>
      </c>
      <c r="F84" s="2">
        <v>1805000</v>
      </c>
      <c r="G84" s="1">
        <v>4.9000000000000004</v>
      </c>
      <c r="H84" s="2">
        <v>13</v>
      </c>
      <c r="I84" s="1" t="s">
        <v>172</v>
      </c>
      <c r="J84" t="str">
        <f t="shared" si="4"/>
        <v>Combo/Set</v>
      </c>
      <c r="K84" t="str">
        <f t="shared" si="5"/>
        <v>Mẫu hợp lệ</v>
      </c>
      <c r="L84">
        <f t="shared" si="6"/>
        <v>4320000</v>
      </c>
      <c r="M84" s="4">
        <f t="shared" si="7"/>
        <v>58.22</v>
      </c>
    </row>
    <row r="85" spans="1:13" x14ac:dyDescent="0.3">
      <c r="A85" s="2">
        <v>248612</v>
      </c>
      <c r="B85" s="1" t="s">
        <v>173</v>
      </c>
      <c r="C85" s="2">
        <v>254000</v>
      </c>
      <c r="D85" s="2">
        <v>339000</v>
      </c>
      <c r="E85" s="2">
        <v>5</v>
      </c>
      <c r="F85" s="2">
        <v>1036000</v>
      </c>
      <c r="G85" s="1">
        <v>4.9000000000000004</v>
      </c>
      <c r="H85" s="2">
        <v>36</v>
      </c>
      <c r="I85" s="1" t="s">
        <v>174</v>
      </c>
      <c r="J85" t="str">
        <f t="shared" si="4"/>
        <v>Khác</v>
      </c>
      <c r="K85" t="str">
        <f t="shared" si="5"/>
        <v>Mẫu hợp lệ</v>
      </c>
      <c r="L85">
        <f t="shared" si="6"/>
        <v>1695000</v>
      </c>
      <c r="M85" s="4">
        <f t="shared" si="7"/>
        <v>38.880000000000003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CHUONG DAI</dc:creator>
  <cp:lastModifiedBy>Thiên Ân Nguyễn Đòan</cp:lastModifiedBy>
  <dcterms:created xsi:type="dcterms:W3CDTF">2026-10-18T08:09:56Z</dcterms:created>
  <dcterms:modified xsi:type="dcterms:W3CDTF">2026-10-21T10:14:05Z</dcterms:modified>
</cp:coreProperties>
</file>